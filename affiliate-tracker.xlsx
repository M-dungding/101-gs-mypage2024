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วิธีใช้" sheetId="1" state="visible" r:id="rId3"/>
    <sheet name="สินค้า" sheetId="2" state="visible" r:id="rId4"/>
    <sheet name="บันทึกรายวัน" sheetId="3" state="visible" r:id="rId5"/>
    <sheet name="สรุป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<sst xmlns="http://schemas.openxmlformats.org/spreadsheetml/2006/main" count="77" uniqueCount="49">
  <si>
    <r>
      <rPr>
        <b val="true"/>
        <sz val="14"/>
        <rFont val="FreeSans"/>
        <family val="2"/>
      </rPr>
      <t xml:space="preserve">ตารางติดตามยอด </t>
    </r>
    <r>
      <rPr>
        <b val="true"/>
        <sz val="14"/>
        <rFont val="Tahoma"/>
        <family val="0"/>
        <charset val="1"/>
      </rPr>
      <t xml:space="preserve">Affiliate (Shopee → TikTok)</t>
    </r>
  </si>
  <si>
    <r>
      <rPr>
        <sz val="11"/>
        <rFont val="Tahoma"/>
        <family val="0"/>
        <charset val="1"/>
      </rPr>
      <t xml:space="preserve">1. </t>
    </r>
    <r>
      <rPr>
        <sz val="11"/>
        <rFont val="FreeSans"/>
        <family val="2"/>
      </rPr>
      <t xml:space="preserve">ชีต </t>
    </r>
    <r>
      <rPr>
        <sz val="11"/>
        <rFont val="Tahoma"/>
        <family val="0"/>
        <charset val="1"/>
      </rPr>
      <t xml:space="preserve">'</t>
    </r>
    <r>
      <rPr>
        <sz val="11"/>
        <rFont val="FreeSans"/>
        <family val="2"/>
      </rPr>
      <t xml:space="preserve">สินค้า</t>
    </r>
    <r>
      <rPr>
        <sz val="11"/>
        <rFont val="Tahoma"/>
        <family val="0"/>
        <charset val="1"/>
      </rPr>
      <t xml:space="preserve">': </t>
    </r>
    <r>
      <rPr>
        <sz val="11"/>
        <rFont val="FreeSans"/>
        <family val="2"/>
      </rPr>
      <t xml:space="preserve">ใส่สินค้าที่โปรโมท </t>
    </r>
    <r>
      <rPr>
        <sz val="11"/>
        <rFont val="Tahoma"/>
        <family val="0"/>
        <charset val="1"/>
      </rPr>
      <t xml:space="preserve">1 </t>
    </r>
    <r>
      <rPr>
        <sz val="11"/>
        <rFont val="FreeSans"/>
        <family val="2"/>
      </rPr>
      <t xml:space="preserve">แถวต่อ </t>
    </r>
    <r>
      <rPr>
        <sz val="11"/>
        <rFont val="Tahoma"/>
        <family val="0"/>
        <charset val="1"/>
      </rPr>
      <t xml:space="preserve">1 </t>
    </r>
    <r>
      <rPr>
        <sz val="11"/>
        <rFont val="FreeSans"/>
        <family val="2"/>
      </rPr>
      <t xml:space="preserve">สินค้า </t>
    </r>
    <r>
      <rPr>
        <sz val="11"/>
        <rFont val="Tahoma"/>
        <family val="0"/>
        <charset val="1"/>
      </rPr>
      <t xml:space="preserve">(</t>
    </r>
    <r>
      <rPr>
        <sz val="11"/>
        <rFont val="FreeSans"/>
        <family val="2"/>
      </rPr>
      <t xml:space="preserve">รหัส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</rPr>
      <t xml:space="preserve">ชื่อ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</rPr>
      <t xml:space="preserve">หมวด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</rPr>
      <t xml:space="preserve">แพลตฟอร์ม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</rPr>
      <t xml:space="preserve">ลิงก์</t>
    </r>
    <r>
      <rPr>
        <sz val="11"/>
        <rFont val="Tahoma"/>
        <family val="0"/>
        <charset val="1"/>
      </rPr>
      <t xml:space="preserve">, </t>
    </r>
    <r>
      <rPr>
        <sz val="11"/>
        <rFont val="FreeSans"/>
        <family val="2"/>
      </rPr>
      <t xml:space="preserve">ราคา</t>
    </r>
    <r>
      <rPr>
        <sz val="11"/>
        <rFont val="Tahoma"/>
        <family val="0"/>
        <charset val="1"/>
      </rPr>
      <t xml:space="preserve">, % </t>
    </r>
    <r>
      <rPr>
        <sz val="11"/>
        <rFont val="FreeSans"/>
        <family val="2"/>
      </rPr>
      <t xml:space="preserve">ค่าคอมฯ</t>
    </r>
    <r>
      <rPr>
        <sz val="11"/>
        <rFont val="Tahoma"/>
        <family val="0"/>
        <charset val="1"/>
      </rPr>
      <t xml:space="preserve">)</t>
    </r>
  </si>
  <si>
    <r>
      <rPr>
        <sz val="11"/>
        <rFont val="Tahoma"/>
        <family val="0"/>
        <charset val="1"/>
      </rPr>
      <t xml:space="preserve">2. </t>
    </r>
    <r>
      <rPr>
        <sz val="11"/>
        <rFont val="FreeSans"/>
        <family val="2"/>
      </rPr>
      <t xml:space="preserve">ชีต </t>
    </r>
    <r>
      <rPr>
        <sz val="11"/>
        <rFont val="Tahoma"/>
        <family val="0"/>
        <charset val="1"/>
      </rPr>
      <t xml:space="preserve">'</t>
    </r>
    <r>
      <rPr>
        <sz val="11"/>
        <rFont val="FreeSans"/>
        <family val="2"/>
      </rPr>
      <t xml:space="preserve">บันทึกรายวัน</t>
    </r>
    <r>
      <rPr>
        <sz val="11"/>
        <rFont val="Tahoma"/>
        <family val="0"/>
        <charset val="1"/>
      </rPr>
      <t xml:space="preserve">': </t>
    </r>
    <r>
      <rPr>
        <sz val="11"/>
        <rFont val="FreeSans"/>
        <family val="2"/>
      </rPr>
      <t xml:space="preserve">ทุกเย็นกรอกตัวเลขจากแดชบอร์ด </t>
    </r>
    <r>
      <rPr>
        <sz val="11"/>
        <rFont val="Tahoma"/>
        <family val="0"/>
        <charset val="1"/>
      </rPr>
      <t xml:space="preserve">Affiliate 1 </t>
    </r>
    <r>
      <rPr>
        <sz val="11"/>
        <rFont val="FreeSans"/>
        <family val="2"/>
      </rPr>
      <t xml:space="preserve">แถวต่อ </t>
    </r>
    <r>
      <rPr>
        <sz val="11"/>
        <rFont val="Tahoma"/>
        <family val="0"/>
        <charset val="1"/>
      </rPr>
      <t xml:space="preserve">1 </t>
    </r>
    <r>
      <rPr>
        <sz val="11"/>
        <rFont val="FreeSans"/>
        <family val="2"/>
      </rPr>
      <t xml:space="preserve">สินค้าต่อ </t>
    </r>
    <r>
      <rPr>
        <sz val="11"/>
        <rFont val="Tahoma"/>
        <family val="0"/>
        <charset val="1"/>
      </rPr>
      <t xml:space="preserve">1 </t>
    </r>
    <r>
      <rPr>
        <sz val="11"/>
        <rFont val="FreeSans"/>
        <family val="2"/>
      </rPr>
      <t xml:space="preserve">ช่องทาง</t>
    </r>
  </si>
  <si>
    <t xml:space="preserve">   ใส่รหัสสินค้า แล้วชื่อสินค้าและแพลตฟอร์มจะขึ้นเอง</t>
  </si>
  <si>
    <r>
      <rPr>
        <sz val="11"/>
        <rFont val="Tahoma"/>
        <family val="0"/>
        <charset val="1"/>
      </rPr>
      <t xml:space="preserve">3. </t>
    </r>
    <r>
      <rPr>
        <sz val="11"/>
        <rFont val="FreeSans"/>
        <family val="2"/>
      </rPr>
      <t xml:space="preserve">ชีต </t>
    </r>
    <r>
      <rPr>
        <sz val="11"/>
        <rFont val="Tahoma"/>
        <family val="0"/>
        <charset val="1"/>
      </rPr>
      <t xml:space="preserve">'</t>
    </r>
    <r>
      <rPr>
        <sz val="11"/>
        <rFont val="FreeSans"/>
        <family val="2"/>
      </rPr>
      <t xml:space="preserve">สรุป</t>
    </r>
    <r>
      <rPr>
        <sz val="11"/>
        <rFont val="Tahoma"/>
        <family val="0"/>
        <charset val="1"/>
      </rPr>
      <t xml:space="preserve">': </t>
    </r>
    <r>
      <rPr>
        <sz val="11"/>
        <rFont val="FreeSans"/>
        <family val="2"/>
      </rPr>
      <t xml:space="preserve">คำนวณให้อัตโนมัติ ไม่ต้องแก้</t>
    </r>
  </si>
  <si>
    <r>
      <rPr>
        <sz val="11"/>
        <rFont val="FreeSans"/>
        <family val="2"/>
      </rPr>
      <t xml:space="preserve">ช่องสีเหลือง </t>
    </r>
    <r>
      <rPr>
        <sz val="11"/>
        <rFont val="Tahoma"/>
        <family val="0"/>
        <charset val="1"/>
      </rPr>
      <t xml:space="preserve">= </t>
    </r>
    <r>
      <rPr>
        <sz val="11"/>
        <rFont val="FreeSans"/>
        <family val="2"/>
      </rPr>
      <t xml:space="preserve">ช่องที่ต้องกรอก </t>
    </r>
    <r>
      <rPr>
        <sz val="11"/>
        <rFont val="Tahoma"/>
        <family val="0"/>
        <charset val="1"/>
      </rPr>
      <t xml:space="preserve">· </t>
    </r>
    <r>
      <rPr>
        <sz val="11"/>
        <rFont val="FreeSans"/>
        <family val="2"/>
      </rPr>
      <t xml:space="preserve">ช่องสีเทา </t>
    </r>
    <r>
      <rPr>
        <sz val="11"/>
        <rFont val="Tahoma"/>
        <family val="0"/>
        <charset val="1"/>
      </rPr>
      <t xml:space="preserve">= </t>
    </r>
    <r>
      <rPr>
        <sz val="11"/>
        <rFont val="FreeSans"/>
        <family val="2"/>
      </rPr>
      <t xml:space="preserve">สูตร ห้ามแก้</t>
    </r>
  </si>
  <si>
    <r>
      <rPr>
        <sz val="11"/>
        <rFont val="FreeSans"/>
        <family val="2"/>
      </rPr>
      <t xml:space="preserve">แถวแรกของชีต </t>
    </r>
    <r>
      <rPr>
        <sz val="11"/>
        <rFont val="Tahoma"/>
        <family val="0"/>
        <charset val="1"/>
      </rPr>
      <t xml:space="preserve">'</t>
    </r>
    <r>
      <rPr>
        <sz val="11"/>
        <rFont val="FreeSans"/>
        <family val="2"/>
      </rPr>
      <t xml:space="preserve">สินค้า</t>
    </r>
    <r>
      <rPr>
        <sz val="11"/>
        <rFont val="Tahoma"/>
        <family val="0"/>
        <charset val="1"/>
      </rPr>
      <t xml:space="preserve">' </t>
    </r>
    <r>
      <rPr>
        <sz val="11"/>
        <rFont val="FreeSans"/>
        <family val="2"/>
      </rPr>
      <t xml:space="preserve">และ </t>
    </r>
    <r>
      <rPr>
        <sz val="11"/>
        <rFont val="Tahoma"/>
        <family val="0"/>
        <charset val="1"/>
      </rPr>
      <t xml:space="preserve">'</t>
    </r>
    <r>
      <rPr>
        <sz val="11"/>
        <rFont val="FreeSans"/>
        <family val="2"/>
      </rPr>
      <t xml:space="preserve">บันทึกรายวัน</t>
    </r>
    <r>
      <rPr>
        <sz val="11"/>
        <rFont val="Tahoma"/>
        <family val="0"/>
        <charset val="1"/>
      </rPr>
      <t xml:space="preserve">' </t>
    </r>
    <r>
      <rPr>
        <sz val="11"/>
        <rFont val="FreeSans"/>
        <family val="2"/>
      </rPr>
      <t xml:space="preserve">เป็นตัวอย่าง ลบหรือเขียนทับได้เลย</t>
    </r>
  </si>
  <si>
    <r>
      <rPr>
        <sz val="11"/>
        <rFont val="FreeSans"/>
        <family val="2"/>
      </rPr>
      <t xml:space="preserve">ค่าคอมฯ</t>
    </r>
    <r>
      <rPr>
        <sz val="11"/>
        <rFont val="Tahoma"/>
        <family val="0"/>
        <charset val="1"/>
      </rPr>
      <t xml:space="preserve">: </t>
    </r>
    <r>
      <rPr>
        <sz val="11"/>
        <rFont val="FreeSans"/>
        <family val="2"/>
      </rPr>
      <t xml:space="preserve">ถ้ากรอก </t>
    </r>
    <r>
      <rPr>
        <sz val="11"/>
        <rFont val="Tahoma"/>
        <family val="0"/>
        <charset val="1"/>
      </rPr>
      <t xml:space="preserve">'</t>
    </r>
    <r>
      <rPr>
        <sz val="11"/>
        <rFont val="FreeSans"/>
        <family val="2"/>
      </rPr>
      <t xml:space="preserve">ค่าคอมฯ จริง</t>
    </r>
    <r>
      <rPr>
        <sz val="11"/>
        <rFont val="Tahoma"/>
        <family val="0"/>
        <charset val="1"/>
      </rPr>
      <t xml:space="preserve">' </t>
    </r>
    <r>
      <rPr>
        <sz val="11"/>
        <rFont val="FreeSans"/>
        <family val="2"/>
      </rPr>
      <t xml:space="preserve">จากแดชบอร์ด จะใช้ตัวเลขนั้น ถ้าไม่กรอก จะประมาณจาก ยอดขาย </t>
    </r>
    <r>
      <rPr>
        <sz val="11"/>
        <rFont val="Tahoma"/>
        <family val="0"/>
        <charset val="1"/>
      </rPr>
      <t xml:space="preserve">× % </t>
    </r>
    <r>
      <rPr>
        <sz val="11"/>
        <rFont val="FreeSans"/>
        <family val="2"/>
      </rPr>
      <t xml:space="preserve">ค่าคอมฯ ในชีตสินค้า</t>
    </r>
  </si>
  <si>
    <r>
      <rPr>
        <sz val="11"/>
        <rFont val="Tahoma"/>
        <family val="0"/>
        <charset val="1"/>
      </rPr>
      <t xml:space="preserve">CTR = </t>
    </r>
    <r>
      <rPr>
        <sz val="11"/>
        <rFont val="FreeSans"/>
        <family val="2"/>
      </rPr>
      <t xml:space="preserve">คลิก </t>
    </r>
    <r>
      <rPr>
        <sz val="11"/>
        <rFont val="Tahoma"/>
        <family val="0"/>
        <charset val="1"/>
      </rPr>
      <t xml:space="preserve">÷ </t>
    </r>
    <r>
      <rPr>
        <sz val="11"/>
        <rFont val="FreeSans"/>
        <family val="2"/>
      </rPr>
      <t xml:space="preserve">วิว </t>
    </r>
    <r>
      <rPr>
        <sz val="11"/>
        <rFont val="Tahoma"/>
        <family val="0"/>
        <charset val="1"/>
      </rPr>
      <t xml:space="preserve">· Conversion = </t>
    </r>
    <r>
      <rPr>
        <sz val="11"/>
        <rFont val="FreeSans"/>
        <family val="2"/>
      </rPr>
      <t xml:space="preserve">ออเดอร์ </t>
    </r>
    <r>
      <rPr>
        <sz val="11"/>
        <rFont val="Tahoma"/>
        <family val="0"/>
        <charset val="1"/>
      </rPr>
      <t xml:space="preserve">÷ </t>
    </r>
    <r>
      <rPr>
        <sz val="11"/>
        <rFont val="FreeSans"/>
        <family val="2"/>
      </rPr>
      <t xml:space="preserve">คลิก</t>
    </r>
  </si>
  <si>
    <r>
      <rPr>
        <sz val="11"/>
        <rFont val="FreeSans"/>
        <family val="2"/>
      </rPr>
      <t xml:space="preserve">พอเริ่ม </t>
    </r>
    <r>
      <rPr>
        <sz val="11"/>
        <rFont val="Tahoma"/>
        <family val="0"/>
        <charset val="1"/>
      </rPr>
      <t xml:space="preserve">TikTok: </t>
    </r>
    <r>
      <rPr>
        <sz val="11"/>
        <rFont val="FreeSans"/>
        <family val="2"/>
      </rPr>
      <t xml:space="preserve">เพิ่มสินค้าที่แพลตฟอร์มเป็น </t>
    </r>
    <r>
      <rPr>
        <sz val="11"/>
        <rFont val="Tahoma"/>
        <family val="0"/>
        <charset val="1"/>
      </rPr>
      <t xml:space="preserve">'TikTok Shop' </t>
    </r>
    <r>
      <rPr>
        <sz val="11"/>
        <rFont val="FreeSans"/>
        <family val="2"/>
      </rPr>
      <t xml:space="preserve">และบันทึกช่องทาง </t>
    </r>
    <r>
      <rPr>
        <sz val="11"/>
        <rFont val="Tahoma"/>
        <family val="0"/>
        <charset val="1"/>
      </rPr>
      <t xml:space="preserve">'TikTok' </t>
    </r>
    <r>
      <rPr>
        <sz val="11"/>
        <rFont val="FreeSans"/>
        <family val="2"/>
      </rPr>
      <t xml:space="preserve">ได้เลย ไม่ต้องแก้ตาราง</t>
    </r>
  </si>
  <si>
    <t xml:space="preserve">รหัส</t>
  </si>
  <si>
    <t xml:space="preserve">ชื่อสินค้า</t>
  </si>
  <si>
    <t xml:space="preserve">หมวด</t>
  </si>
  <si>
    <t xml:space="preserve">แพลตฟอร์ม</t>
  </si>
  <si>
    <r>
      <rPr>
        <b val="true"/>
        <sz val="11"/>
        <color rgb="FFFFFFFF"/>
        <rFont val="FreeSans"/>
        <family val="2"/>
      </rPr>
      <t xml:space="preserve">ลิงก์ </t>
    </r>
    <r>
      <rPr>
        <b val="true"/>
        <sz val="11"/>
        <color rgb="FFFFFFFF"/>
        <rFont val="Tahoma"/>
        <family val="0"/>
        <charset val="1"/>
      </rPr>
      <t xml:space="preserve">affiliate</t>
    </r>
  </si>
  <si>
    <r>
      <rPr>
        <b val="true"/>
        <sz val="11"/>
        <color rgb="FFFFFFFF"/>
        <rFont val="FreeSans"/>
        <family val="2"/>
      </rPr>
      <t xml:space="preserve">ราคา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บาท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</si>
  <si>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ค่าคอมฯ </t>
    </r>
    <r>
      <rPr>
        <b val="true"/>
        <sz val="11"/>
        <color rgb="FFFFFFFF"/>
        <rFont val="Tahoma"/>
        <family val="0"/>
        <charset val="1"/>
      </rPr>
      <t xml:space="preserve">(%)</t>
    </r>
  </si>
  <si>
    <r>
      <rPr>
        <b val="true"/>
        <sz val="11"/>
        <color rgb="FFFFFFFF"/>
        <rFont val="FreeSans"/>
        <family val="2"/>
      </rPr>
      <t xml:space="preserve">ค่าคอมฯ ต่อชิ้น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บาท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</si>
  <si>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P001</t>
  </si>
  <si>
    <r>
      <rPr>
        <sz val="11"/>
        <color rgb="FF0000FF"/>
        <rFont val="FreeSans"/>
        <family val="2"/>
      </rPr>
      <t xml:space="preserve">ที่หั่นผักอเนกประสงค์ </t>
    </r>
    <r>
      <rPr>
        <sz val="11"/>
        <color rgb="FF0000FF"/>
        <rFont val="Tahoma"/>
        <family val="0"/>
        <charset val="1"/>
      </rPr>
      <t xml:space="preserve">(</t>
    </r>
    <r>
      <rPr>
        <sz val="11"/>
        <color rgb="FF0000FF"/>
        <rFont val="FreeSans"/>
        <family val="2"/>
      </rPr>
      <t xml:space="preserve">ตัวอย่าง</t>
    </r>
    <r>
      <rPr>
        <sz val="11"/>
        <color rgb="FF0000FF"/>
        <rFont val="Tahoma"/>
        <family val="0"/>
        <charset val="1"/>
      </rPr>
      <t xml:space="preserve">)</t>
    </r>
  </si>
  <si>
    <t xml:space="preserve">ของใช้ในบ้าน</t>
  </si>
  <si>
    <t xml:space="preserve">Shopee</t>
  </si>
  <si>
    <t xml:space="preserve">https://s.shopee.co.th/XXXXXXXX</t>
  </si>
  <si>
    <t xml:space="preserve">วันที่</t>
  </si>
  <si>
    <t xml:space="preserve">รหัสสินค้า</t>
  </si>
  <si>
    <t xml:space="preserve">ช่องทาง</t>
  </si>
  <si>
    <t xml:space="preserve">วิว</t>
  </si>
  <si>
    <t xml:space="preserve">คลิก</t>
  </si>
  <si>
    <t xml:space="preserve">ออเดอร์</t>
  </si>
  <si>
    <r>
      <rPr>
        <b val="true"/>
        <sz val="11"/>
        <color rgb="FFFFFFFF"/>
        <rFont val="FreeSans"/>
        <family val="2"/>
      </rPr>
      <t xml:space="preserve">ยอดขาย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บาท</t>
    </r>
    <r>
      <rPr>
        <b val="true"/>
        <sz val="11"/>
        <color rgb="FFFFFFFF"/>
        <rFont val="Tahoma"/>
        <family val="0"/>
        <charset val="1"/>
      </rPr>
      <t xml:space="preserve">)</t>
    </r>
  </si>
  <si>
    <r>
      <rPr>
        <b val="true"/>
        <sz val="11"/>
        <color rgb="FFFFFFFF"/>
        <rFont val="FreeSans"/>
        <family val="2"/>
      </rPr>
      <t xml:space="preserve">ค่าคอมฯ จริง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บาท</t>
    </r>
    <r>
      <rPr>
        <b val="true"/>
        <sz val="11"/>
        <color rgb="FFFFFFFF"/>
        <rFont val="Tahoma"/>
        <family val="0"/>
        <charset val="1"/>
      </rPr>
      <t xml:space="preserve">)
</t>
    </r>
    <r>
      <rPr>
        <b val="true"/>
        <sz val="11"/>
        <color rgb="FFFFFFFF"/>
        <rFont val="FreeSans"/>
        <family val="2"/>
      </rPr>
      <t xml:space="preserve">ถ้ามี</t>
    </r>
  </si>
  <si>
    <r>
      <rPr>
        <b val="true"/>
        <sz val="11"/>
        <color rgb="FFFFFFFF"/>
        <rFont val="FreeSans"/>
        <family val="2"/>
      </rPr>
      <t xml:space="preserve">ค่าคอมฯ </t>
    </r>
    <r>
      <rPr>
        <b val="true"/>
        <sz val="11"/>
        <color rgb="FFFFFFFF"/>
        <rFont val="Tahoma"/>
        <family val="0"/>
        <charset val="1"/>
      </rPr>
      <t xml:space="preserve">(</t>
    </r>
    <r>
      <rPr>
        <b val="true"/>
        <sz val="11"/>
        <color rgb="FFFFFFFF"/>
        <rFont val="FreeSans"/>
        <family val="2"/>
      </rPr>
      <t xml:space="preserve">บาท</t>
    </r>
    <r>
      <rPr>
        <b val="true"/>
        <sz val="11"/>
        <color rgb="FFFFFFFF"/>
        <rFont val="Tahoma"/>
        <family val="0"/>
        <charset val="1"/>
      </rPr>
      <t xml:space="preserve">)</t>
    </r>
  </si>
  <si>
    <t xml:space="preserve">CTR</t>
  </si>
  <si>
    <t xml:space="preserve">Conversion</t>
  </si>
  <si>
    <t xml:space="preserve">Shopee Video</t>
  </si>
  <si>
    <r>
      <rPr>
        <b val="true"/>
        <sz val="14"/>
        <rFont val="FreeSans"/>
        <family val="2"/>
      </rPr>
      <t xml:space="preserve">สรุปยอด </t>
    </r>
    <r>
      <rPr>
        <b val="true"/>
        <sz val="14"/>
        <rFont val="Tahoma"/>
        <family val="0"/>
        <charset val="1"/>
      </rPr>
      <t xml:space="preserve">Affiliate</t>
    </r>
  </si>
  <si>
    <r>
      <rPr>
        <b val="true"/>
        <sz val="11"/>
        <rFont val="FreeSans"/>
        <family val="2"/>
      </rPr>
      <t xml:space="preserve">ค่าคอมฯ รวมทั้งหมด </t>
    </r>
    <r>
      <rPr>
        <b val="true"/>
        <sz val="11"/>
        <rFont val="Tahoma"/>
        <family val="0"/>
        <charset val="1"/>
      </rPr>
      <t xml:space="preserve">(</t>
    </r>
    <r>
      <rPr>
        <b val="true"/>
        <sz val="11"/>
        <rFont val="FreeSans"/>
        <family val="2"/>
      </rPr>
      <t xml:space="preserve">บาท</t>
    </r>
    <r>
      <rPr>
        <b val="true"/>
        <sz val="11"/>
        <rFont val="Tahoma"/>
        <family val="0"/>
        <charset val="1"/>
      </rPr>
      <t xml:space="preserve">)</t>
    </r>
  </si>
  <si>
    <t xml:space="preserve">ออเดอร์รวม</t>
  </si>
  <si>
    <t xml:space="preserve">สินค้าที่ได้ค่าคอมฯ สูงสุด</t>
  </si>
  <si>
    <t xml:space="preserve">แยกตามช่องทาง</t>
  </si>
  <si>
    <t xml:space="preserve">Facebook</t>
  </si>
  <si>
    <t xml:space="preserve">Instagram</t>
  </si>
  <si>
    <t xml:space="preserve">LINE</t>
  </si>
  <si>
    <t xml:space="preserve">Link-in-bio</t>
  </si>
  <si>
    <t xml:space="preserve">TikTok</t>
  </si>
  <si>
    <t xml:space="preserve">แยกตามแพลตฟอร์ม</t>
  </si>
  <si>
    <t xml:space="preserve">TikTok Shop</t>
  </si>
  <si>
    <t xml:space="preserve">แยกตามสินค้า</t>
  </si>
  <si>
    <t xml:space="preserve">สินค้า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</si>
</sst>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#,##0.00"/>
    <numFmt numFmtId="168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FreeSans"/>
      <family val="2"/>
    </font>
    <font>
      <b val="true"/>
      <sz val="14"/>
      <name val="Tahoma"/>
      <family val="0"/>
      <charset val="1"/>
    </font>
    <font>
      <sz val="11"/>
      <name val="Tahoma"/>
      <family val="0"/>
      <charset val="1"/>
    </font>
    <font>
      <sz val="11"/>
      <name val="FreeSans"/>
      <family val="2"/>
    </font>
    <font>
      <b val="true"/>
      <sz val="11"/>
      <color rgb="FFFFFFFF"/>
      <name val="FreeSans"/>
      <family val="2"/>
    </font>
    <font>
      <b val="true"/>
      <sz val="11"/>
      <color rgb="FFFFFFFF"/>
      <name val="Tahoma"/>
      <family val="0"/>
      <charset val="1"/>
    </font>
    <font>
      <sz val="11"/>
      <color rgb="FF0000FF"/>
      <name val="Tahoma"/>
      <family val="0"/>
      <charset val="1"/>
    </font>
    <font>
      <sz val="11"/>
      <color rgb="FF0000FF"/>
      <name val="FreeSans"/>
      <family val="2"/>
    </font>
    <font>
      <b val="true"/>
      <sz val="11"/>
      <name val="FreeSans"/>
      <family val="2"/>
    </font>
    <font>
      <b val="true"/>
      <sz val="11"/>
      <name val="Tahoma"/>
      <family val="0"/>
      <charset val="1"/>
    </font>
    <font>
      <b val="true"/>
      <sz val="12"/>
      <name val="FreeSans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E4D2D"/>
        <bgColor rgb="FFFF808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Tahoma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E4D2D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0"/>
  </cols>
  <sheetData>
    <row r="2" customFormat="false" ht="18.6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2"/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2" t="s">
        <v>8</v>
      </c>
    </row>
    <row r="14" customFormat="false" ht="15" hidden="false" customHeight="false" outlineLevel="0" collapsed="false">
      <c r="B14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40"/>
    <col collapsed="false" customWidth="true" hidden="false" outlineLevel="0" max="7" min="6" style="0" width="13"/>
    <col collapsed="false" customWidth="true" hidden="false" outlineLevel="0" max="8" min="8" style="0" width="18"/>
  </cols>
  <sheetData>
    <row r="1" customFormat="false" ht="36" hidden="false" customHeight="tru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</row>
    <row r="2" customFormat="false" ht="15" hidden="false" customHeight="false" outlineLevel="0" collapsed="false">
      <c r="A2" s="6" t="s">
        <v>18</v>
      </c>
      <c r="B2" s="7" t="s">
        <v>19</v>
      </c>
      <c r="C2" s="7" t="s">
        <v>20</v>
      </c>
      <c r="D2" s="6" t="s">
        <v>21</v>
      </c>
      <c r="E2" s="6" t="s">
        <v>22</v>
      </c>
      <c r="F2" s="8" t="n">
        <v>89</v>
      </c>
      <c r="G2" s="9" t="n">
        <v>0.08</v>
      </c>
      <c r="H2" s="10" t="n">
        <f aca="false">IF(OR(F2="",G2=""),"",F2*G2)</f>
        <v>7.12</v>
      </c>
    </row>
    <row r="3" customFormat="false" ht="15" hidden="false" customHeight="false" outlineLevel="0" collapsed="false">
      <c r="A3" s="6"/>
      <c r="B3" s="6"/>
      <c r="C3" s="7"/>
      <c r="D3" s="6"/>
      <c r="E3" s="6"/>
      <c r="F3" s="8"/>
      <c r="G3" s="9"/>
      <c r="H3" s="10" t="str">
        <f aca="false">IF(OR(F3="",G3=""),"",F3*G3)</f>
        <v/>
      </c>
    </row>
    <row r="4" customFormat="false" ht="15" hidden="false" customHeight="false" outlineLevel="0" collapsed="false">
      <c r="A4" s="6"/>
      <c r="B4" s="6"/>
      <c r="C4" s="7"/>
      <c r="D4" s="6"/>
      <c r="E4" s="6"/>
      <c r="F4" s="8"/>
      <c r="G4" s="9"/>
      <c r="H4" s="10" t="str">
        <f aca="false">IF(OR(F4="",G4=""),"",F4*G4)</f>
        <v/>
      </c>
    </row>
    <row r="5" customFormat="false" ht="15" hidden="false" customHeight="false" outlineLevel="0" collapsed="false">
      <c r="A5" s="6"/>
      <c r="B5" s="6"/>
      <c r="C5" s="7"/>
      <c r="D5" s="6"/>
      <c r="E5" s="6"/>
      <c r="F5" s="8"/>
      <c r="G5" s="9"/>
      <c r="H5" s="10" t="str">
        <f aca="false">IF(OR(F5="",G5=""),"",F5*G5)</f>
        <v/>
      </c>
    </row>
    <row r="6" customFormat="false" ht="15" hidden="false" customHeight="false" outlineLevel="0" collapsed="false">
      <c r="A6" s="6"/>
      <c r="B6" s="6"/>
      <c r="C6" s="7"/>
      <c r="D6" s="6"/>
      <c r="E6" s="6"/>
      <c r="F6" s="8"/>
      <c r="G6" s="9"/>
      <c r="H6" s="10" t="str">
        <f aca="false">IF(OR(F6="",G6=""),"",F6*G6)</f>
        <v/>
      </c>
    </row>
    <row r="7" customFormat="false" ht="15" hidden="false" customHeight="false" outlineLevel="0" collapsed="false">
      <c r="A7" s="6"/>
      <c r="B7" s="6"/>
      <c r="C7" s="7"/>
      <c r="D7" s="6"/>
      <c r="E7" s="6"/>
      <c r="F7" s="8"/>
      <c r="G7" s="9"/>
      <c r="H7" s="10" t="str">
        <f aca="false">IF(OR(F7="",G7=""),"",F7*G7)</f>
        <v/>
      </c>
    </row>
    <row r="8" customFormat="false" ht="15" hidden="false" customHeight="false" outlineLevel="0" collapsed="false">
      <c r="A8" s="6"/>
      <c r="B8" s="6"/>
      <c r="C8" s="7"/>
      <c r="D8" s="6"/>
      <c r="E8" s="6"/>
      <c r="F8" s="8"/>
      <c r="G8" s="9"/>
      <c r="H8" s="10" t="str">
        <f aca="false">IF(OR(F8="",G8=""),"",F8*G8)</f>
        <v/>
      </c>
    </row>
    <row r="9" customFormat="false" ht="15" hidden="false" customHeight="false" outlineLevel="0" collapsed="false">
      <c r="A9" s="6"/>
      <c r="B9" s="6"/>
      <c r="C9" s="7"/>
      <c r="D9" s="6"/>
      <c r="E9" s="6"/>
      <c r="F9" s="8"/>
      <c r="G9" s="9"/>
      <c r="H9" s="10" t="str">
        <f aca="false">IF(OR(F9="",G9=""),"",F9*G9)</f>
        <v/>
      </c>
    </row>
    <row r="10" customFormat="false" ht="15" hidden="false" customHeight="false" outlineLevel="0" collapsed="false">
      <c r="A10" s="6"/>
      <c r="B10" s="6"/>
      <c r="C10" s="7"/>
      <c r="D10" s="6"/>
      <c r="E10" s="6"/>
      <c r="F10" s="8"/>
      <c r="G10" s="9"/>
      <c r="H10" s="10" t="str">
        <f aca="false">IF(OR(F10="",G10=""),"",F10*G10)</f>
        <v/>
      </c>
    </row>
    <row r="11" customFormat="false" ht="15" hidden="false" customHeight="false" outlineLevel="0" collapsed="false">
      <c r="A11" s="6"/>
      <c r="B11" s="6"/>
      <c r="C11" s="7"/>
      <c r="D11" s="6"/>
      <c r="E11" s="6"/>
      <c r="F11" s="8"/>
      <c r="G11" s="9"/>
      <c r="H11" s="10" t="str">
        <f aca="false">IF(OR(F11="",G11=""),"",F11*G11)</f>
        <v/>
      </c>
    </row>
    <row r="12" customFormat="false" ht="15" hidden="false" customHeight="false" outlineLevel="0" collapsed="false">
      <c r="A12" s="6"/>
      <c r="B12" s="6"/>
      <c r="C12" s="7"/>
      <c r="D12" s="6"/>
      <c r="E12" s="6"/>
      <c r="F12" s="8"/>
      <c r="G12" s="9"/>
      <c r="H12" s="10" t="str">
        <f aca="false">IF(OR(F12="",G12=""),"",F12*G12)</f>
        <v/>
      </c>
    </row>
    <row r="13" customFormat="false" ht="15" hidden="false" customHeight="false" outlineLevel="0" collapsed="false">
      <c r="A13" s="6"/>
      <c r="B13" s="6"/>
      <c r="C13" s="7"/>
      <c r="D13" s="6"/>
      <c r="E13" s="6"/>
      <c r="F13" s="8"/>
      <c r="G13" s="9"/>
      <c r="H13" s="10" t="str">
        <f aca="false">IF(OR(F13="",G13=""),"",F13*G13)</f>
        <v/>
      </c>
    </row>
    <row r="14" customFormat="false" ht="15" hidden="false" customHeight="false" outlineLevel="0" collapsed="false">
      <c r="A14" s="6"/>
      <c r="B14" s="6"/>
      <c r="C14" s="7"/>
      <c r="D14" s="6"/>
      <c r="E14" s="6"/>
      <c r="F14" s="8"/>
      <c r="G14" s="9"/>
      <c r="H14" s="10" t="str">
        <f aca="false">IF(OR(F14="",G14=""),"",F14*G14)</f>
        <v/>
      </c>
    </row>
    <row r="15" customFormat="false" ht="15" hidden="false" customHeight="false" outlineLevel="0" collapsed="false">
      <c r="A15" s="6"/>
      <c r="B15" s="6"/>
      <c r="C15" s="7"/>
      <c r="D15" s="6"/>
      <c r="E15" s="6"/>
      <c r="F15" s="8"/>
      <c r="G15" s="9"/>
      <c r="H15" s="10" t="str">
        <f aca="false">IF(OR(F15="",G15=""),"",F15*G15)</f>
        <v/>
      </c>
    </row>
    <row r="16" customFormat="false" ht="15" hidden="false" customHeight="false" outlineLevel="0" collapsed="false">
      <c r="A16" s="6"/>
      <c r="B16" s="6"/>
      <c r="C16" s="7"/>
      <c r="D16" s="6"/>
      <c r="E16" s="6"/>
      <c r="F16" s="8"/>
      <c r="G16" s="9"/>
      <c r="H16" s="10" t="str">
        <f aca="false">IF(OR(F16="",G16=""),"",F16*G16)</f>
        <v/>
      </c>
    </row>
    <row r="17" customFormat="false" ht="15" hidden="false" customHeight="false" outlineLevel="0" collapsed="false">
      <c r="A17" s="6"/>
      <c r="B17" s="6"/>
      <c r="C17" s="7"/>
      <c r="D17" s="6"/>
      <c r="E17" s="6"/>
      <c r="F17" s="8"/>
      <c r="G17" s="9"/>
      <c r="H17" s="10" t="str">
        <f aca="false">IF(OR(F17="",G17=""),"",F17*G17)</f>
        <v/>
      </c>
    </row>
    <row r="18" customFormat="false" ht="15" hidden="false" customHeight="false" outlineLevel="0" collapsed="false">
      <c r="A18" s="6"/>
      <c r="B18" s="6"/>
      <c r="C18" s="7"/>
      <c r="D18" s="6"/>
      <c r="E18" s="6"/>
      <c r="F18" s="8"/>
      <c r="G18" s="9"/>
      <c r="H18" s="10" t="str">
        <f aca="false">IF(OR(F18="",G18=""),"",F18*G18)</f>
        <v/>
      </c>
    </row>
    <row r="19" customFormat="false" ht="15" hidden="false" customHeight="false" outlineLevel="0" collapsed="false">
      <c r="A19" s="6"/>
      <c r="B19" s="6"/>
      <c r="C19" s="7"/>
      <c r="D19" s="6"/>
      <c r="E19" s="6"/>
      <c r="F19" s="8"/>
      <c r="G19" s="9"/>
      <c r="H19" s="10" t="str">
        <f aca="false">IF(OR(F19="",G19=""),"",F19*G19)</f>
        <v/>
      </c>
    </row>
    <row r="20" customFormat="false" ht="15" hidden="false" customHeight="false" outlineLevel="0" collapsed="false">
      <c r="A20" s="6"/>
      <c r="B20" s="6"/>
      <c r="C20" s="7"/>
      <c r="D20" s="6"/>
      <c r="E20" s="6"/>
      <c r="F20" s="8"/>
      <c r="G20" s="9"/>
      <c r="H20" s="10" t="str">
        <f aca="false">IF(OR(F20="",G20=""),"",F20*G20)</f>
        <v/>
      </c>
    </row>
    <row r="21" customFormat="false" ht="15" hidden="false" customHeight="false" outlineLevel="0" collapsed="false">
      <c r="A21" s="6"/>
      <c r="B21" s="6"/>
      <c r="C21" s="7"/>
      <c r="D21" s="6"/>
      <c r="E21" s="6"/>
      <c r="F21" s="8"/>
      <c r="G21" s="9"/>
      <c r="H21" s="10" t="str">
        <f aca="false">IF(OR(F21="",G21=""),"",F21*G21)</f>
        <v/>
      </c>
    </row>
    <row r="22" customFormat="false" ht="15" hidden="false" customHeight="false" outlineLevel="0" collapsed="false">
      <c r="A22" s="6"/>
      <c r="B22" s="6"/>
      <c r="C22" s="7"/>
      <c r="D22" s="6"/>
      <c r="E22" s="6"/>
      <c r="F22" s="8"/>
      <c r="G22" s="9"/>
      <c r="H22" s="10" t="str">
        <f aca="false">IF(OR(F22="",G22=""),"",F22*G22)</f>
        <v/>
      </c>
    </row>
    <row r="23" customFormat="false" ht="15" hidden="false" customHeight="false" outlineLevel="0" collapsed="false">
      <c r="A23" s="6"/>
      <c r="B23" s="6"/>
      <c r="C23" s="7"/>
      <c r="D23" s="6"/>
      <c r="E23" s="6"/>
      <c r="F23" s="8"/>
      <c r="G23" s="9"/>
      <c r="H23" s="10" t="str">
        <f aca="false">IF(OR(F23="",G23=""),"",F23*G23)</f>
        <v/>
      </c>
    </row>
    <row r="24" customFormat="false" ht="15" hidden="false" customHeight="false" outlineLevel="0" collapsed="false">
      <c r="A24" s="6"/>
      <c r="B24" s="6"/>
      <c r="C24" s="7"/>
      <c r="D24" s="6"/>
      <c r="E24" s="6"/>
      <c r="F24" s="8"/>
      <c r="G24" s="9"/>
      <c r="H24" s="10" t="str">
        <f aca="false">IF(OR(F24="",G24=""),"",F24*G24)</f>
        <v/>
      </c>
    </row>
    <row r="25" customFormat="false" ht="15" hidden="false" customHeight="false" outlineLevel="0" collapsed="false">
      <c r="A25" s="6"/>
      <c r="B25" s="6"/>
      <c r="C25" s="7"/>
      <c r="D25" s="6"/>
      <c r="E25" s="6"/>
      <c r="F25" s="8"/>
      <c r="G25" s="9"/>
      <c r="H25" s="10" t="str">
        <f aca="false">IF(OR(F25="",G25=""),"",F25*G25)</f>
        <v/>
      </c>
    </row>
    <row r="26" customFormat="false" ht="15" hidden="false" customHeight="false" outlineLevel="0" collapsed="false">
      <c r="A26" s="6"/>
      <c r="B26" s="6"/>
      <c r="C26" s="7"/>
      <c r="D26" s="6"/>
      <c r="E26" s="6"/>
      <c r="F26" s="8"/>
      <c r="G26" s="9"/>
      <c r="H26" s="10" t="str">
        <f aca="false">IF(OR(F26="",G26=""),"",F26*G26)</f>
        <v/>
      </c>
    </row>
    <row r="27" customFormat="false" ht="15" hidden="false" customHeight="false" outlineLevel="0" collapsed="false">
      <c r="A27" s="6"/>
      <c r="B27" s="6"/>
      <c r="C27" s="7"/>
      <c r="D27" s="6"/>
      <c r="E27" s="6"/>
      <c r="F27" s="8"/>
      <c r="G27" s="9"/>
      <c r="H27" s="10" t="str">
        <f aca="false">IF(OR(F27="",G27=""),"",F27*G27)</f>
        <v/>
      </c>
    </row>
    <row r="28" customFormat="false" ht="15" hidden="false" customHeight="false" outlineLevel="0" collapsed="false">
      <c r="A28" s="6"/>
      <c r="B28" s="6"/>
      <c r="C28" s="7"/>
      <c r="D28" s="6"/>
      <c r="E28" s="6"/>
      <c r="F28" s="8"/>
      <c r="G28" s="9"/>
      <c r="H28" s="10" t="str">
        <f aca="false">IF(OR(F28="",G28=""),"",F28*G28)</f>
        <v/>
      </c>
    </row>
    <row r="29" customFormat="false" ht="15" hidden="false" customHeight="false" outlineLevel="0" collapsed="false">
      <c r="A29" s="6"/>
      <c r="B29" s="6"/>
      <c r="C29" s="7"/>
      <c r="D29" s="6"/>
      <c r="E29" s="6"/>
      <c r="F29" s="8"/>
      <c r="G29" s="9"/>
      <c r="H29" s="10" t="str">
        <f aca="false">IF(OR(F29="",G29=""),"",F29*G29)</f>
        <v/>
      </c>
    </row>
    <row r="30" customFormat="false" ht="15" hidden="false" customHeight="false" outlineLevel="0" collapsed="false">
      <c r="A30" s="6"/>
      <c r="B30" s="6"/>
      <c r="C30" s="7"/>
      <c r="D30" s="6"/>
      <c r="E30" s="6"/>
      <c r="F30" s="8"/>
      <c r="G30" s="9"/>
      <c r="H30" s="10" t="str">
        <f aca="false">IF(OR(F30="",G30=""),"",F30*G30)</f>
        <v/>
      </c>
    </row>
    <row r="31" customFormat="false" ht="15" hidden="false" customHeight="false" outlineLevel="0" collapsed="false">
      <c r="A31" s="6"/>
      <c r="B31" s="6"/>
      <c r="C31" s="7"/>
      <c r="D31" s="6"/>
      <c r="E31" s="6"/>
      <c r="F31" s="8"/>
      <c r="G31" s="9"/>
      <c r="H31" s="10" t="str">
        <f aca="false">IF(OR(F31="",G31=""),"",F31*G31)</f>
        <v/>
      </c>
    </row>
    <row r="32" customFormat="false" ht="15" hidden="false" customHeight="false" outlineLevel="0" collapsed="false">
      <c r="A32" s="6"/>
      <c r="B32" s="6"/>
      <c r="C32" s="7"/>
      <c r="D32" s="6"/>
      <c r="E32" s="6"/>
      <c r="F32" s="8"/>
      <c r="G32" s="9"/>
      <c r="H32" s="10" t="str">
        <f aca="false">IF(OR(F32="",G32=""),"",F32*G32)</f>
        <v/>
      </c>
    </row>
    <row r="33" customFormat="false" ht="15" hidden="false" customHeight="false" outlineLevel="0" collapsed="false">
      <c r="A33" s="6"/>
      <c r="B33" s="6"/>
      <c r="C33" s="7"/>
      <c r="D33" s="6"/>
      <c r="E33" s="6"/>
      <c r="F33" s="8"/>
      <c r="G33" s="9"/>
      <c r="H33" s="10" t="str">
        <f aca="false">IF(OR(F33="",G33=""),"",F33*G33)</f>
        <v/>
      </c>
    </row>
    <row r="34" customFormat="false" ht="15" hidden="false" customHeight="false" outlineLevel="0" collapsed="false">
      <c r="A34" s="6"/>
      <c r="B34" s="6"/>
      <c r="C34" s="7"/>
      <c r="D34" s="6"/>
      <c r="E34" s="6"/>
      <c r="F34" s="8"/>
      <c r="G34" s="9"/>
      <c r="H34" s="10" t="str">
        <f aca="false">IF(OR(F34="",G34=""),"",F34*G34)</f>
        <v/>
      </c>
    </row>
    <row r="35" customFormat="false" ht="15" hidden="false" customHeight="false" outlineLevel="0" collapsed="false">
      <c r="A35" s="6"/>
      <c r="B35" s="6"/>
      <c r="C35" s="7"/>
      <c r="D35" s="6"/>
      <c r="E35" s="6"/>
      <c r="F35" s="8"/>
      <c r="G35" s="9"/>
      <c r="H35" s="10" t="str">
        <f aca="false">IF(OR(F35="",G35=""),"",F35*G35)</f>
        <v/>
      </c>
    </row>
    <row r="36" customFormat="false" ht="15" hidden="false" customHeight="false" outlineLevel="0" collapsed="false">
      <c r="A36" s="6"/>
      <c r="B36" s="6"/>
      <c r="C36" s="7"/>
      <c r="D36" s="6"/>
      <c r="E36" s="6"/>
      <c r="F36" s="8"/>
      <c r="G36" s="9"/>
      <c r="H36" s="10" t="str">
        <f aca="false">IF(OR(F36="",G36=""),"",F36*G36)</f>
        <v/>
      </c>
    </row>
    <row r="37" customFormat="false" ht="15" hidden="false" customHeight="false" outlineLevel="0" collapsed="false">
      <c r="A37" s="6"/>
      <c r="B37" s="6"/>
      <c r="C37" s="7"/>
      <c r="D37" s="6"/>
      <c r="E37" s="6"/>
      <c r="F37" s="8"/>
      <c r="G37" s="9"/>
      <c r="H37" s="10" t="str">
        <f aca="false">IF(OR(F37="",G37=""),"",F37*G37)</f>
        <v/>
      </c>
    </row>
    <row r="38" customFormat="false" ht="15" hidden="false" customHeight="false" outlineLevel="0" collapsed="false">
      <c r="A38" s="6"/>
      <c r="B38" s="6"/>
      <c r="C38" s="7"/>
      <c r="D38" s="6"/>
      <c r="E38" s="6"/>
      <c r="F38" s="8"/>
      <c r="G38" s="9"/>
      <c r="H38" s="10" t="str">
        <f aca="false">IF(OR(F38="",G38=""),"",F38*G38)</f>
        <v/>
      </c>
    </row>
    <row r="39" customFormat="false" ht="15" hidden="false" customHeight="false" outlineLevel="0" collapsed="false">
      <c r="A39" s="6"/>
      <c r="B39" s="6"/>
      <c r="C39" s="7"/>
      <c r="D39" s="6"/>
      <c r="E39" s="6"/>
      <c r="F39" s="8"/>
      <c r="G39" s="9"/>
      <c r="H39" s="10" t="str">
        <f aca="false">IF(OR(F39="",G39=""),"",F39*G39)</f>
        <v/>
      </c>
    </row>
    <row r="40" customFormat="false" ht="15" hidden="false" customHeight="false" outlineLevel="0" collapsed="false">
      <c r="A40" s="6"/>
      <c r="B40" s="6"/>
      <c r="C40" s="7"/>
      <c r="D40" s="6"/>
      <c r="E40" s="6"/>
      <c r="F40" s="8"/>
      <c r="G40" s="9"/>
      <c r="H40" s="10" t="str">
        <f aca="false">IF(OR(F40="",G40=""),"",F40*G40)</f>
        <v/>
      </c>
    </row>
    <row r="41" customFormat="false" ht="15" hidden="false" customHeight="false" outlineLevel="0" collapsed="false">
      <c r="A41" s="6"/>
      <c r="B41" s="6"/>
      <c r="C41" s="7"/>
      <c r="D41" s="6"/>
      <c r="E41" s="6"/>
      <c r="F41" s="8"/>
      <c r="G41" s="9"/>
      <c r="H41" s="10" t="str">
        <f aca="false">IF(OR(F41="",G41=""),"",F41*G41)</f>
        <v/>
      </c>
    </row>
    <row r="42" customFormat="false" ht="15" hidden="false" customHeight="false" outlineLevel="0" collapsed="false">
      <c r="A42" s="6"/>
      <c r="B42" s="6"/>
      <c r="C42" s="7"/>
      <c r="D42" s="6"/>
      <c r="E42" s="6"/>
      <c r="F42" s="8"/>
      <c r="G42" s="9"/>
      <c r="H42" s="10" t="str">
        <f aca="false">IF(OR(F42="",G42=""),"",F42*G42)</f>
        <v/>
      </c>
    </row>
    <row r="43" customFormat="false" ht="15" hidden="false" customHeight="false" outlineLevel="0" collapsed="false">
      <c r="A43" s="6"/>
      <c r="B43" s="6"/>
      <c r="C43" s="7"/>
      <c r="D43" s="6"/>
      <c r="E43" s="6"/>
      <c r="F43" s="8"/>
      <c r="G43" s="9"/>
      <c r="H43" s="10" t="str">
        <f aca="false">IF(OR(F43="",G43=""),"",F43*G43)</f>
        <v/>
      </c>
    </row>
    <row r="44" customFormat="false" ht="15" hidden="false" customHeight="false" outlineLevel="0" collapsed="false">
      <c r="A44" s="6"/>
      <c r="B44" s="6"/>
      <c r="C44" s="7"/>
      <c r="D44" s="6"/>
      <c r="E44" s="6"/>
      <c r="F44" s="8"/>
      <c r="G44" s="9"/>
      <c r="H44" s="10" t="str">
        <f aca="false">IF(OR(F44="",G44=""),"",F44*G44)</f>
        <v/>
      </c>
    </row>
    <row r="45" customFormat="false" ht="15" hidden="false" customHeight="false" outlineLevel="0" collapsed="false">
      <c r="A45" s="6"/>
      <c r="B45" s="6"/>
      <c r="C45" s="7"/>
      <c r="D45" s="6"/>
      <c r="E45" s="6"/>
      <c r="F45" s="8"/>
      <c r="G45" s="9"/>
      <c r="H45" s="10" t="str">
        <f aca="false">IF(OR(F45="",G45=""),"",F45*G45)</f>
        <v/>
      </c>
    </row>
    <row r="46" customFormat="false" ht="15" hidden="false" customHeight="false" outlineLevel="0" collapsed="false">
      <c r="A46" s="6"/>
      <c r="B46" s="6"/>
      <c r="C46" s="7"/>
      <c r="D46" s="6"/>
      <c r="E46" s="6"/>
      <c r="F46" s="8"/>
      <c r="G46" s="9"/>
      <c r="H46" s="10" t="str">
        <f aca="false">IF(OR(F46="",G46=""),"",F46*G46)</f>
        <v/>
      </c>
    </row>
    <row r="47" customFormat="false" ht="15" hidden="false" customHeight="false" outlineLevel="0" collapsed="false">
      <c r="A47" s="6"/>
      <c r="B47" s="6"/>
      <c r="C47" s="7"/>
      <c r="D47" s="6"/>
      <c r="E47" s="6"/>
      <c r="F47" s="8"/>
      <c r="G47" s="9"/>
      <c r="H47" s="10" t="str">
        <f aca="false">IF(OR(F47="",G47=""),"",F47*G47)</f>
        <v/>
      </c>
    </row>
    <row r="48" customFormat="false" ht="15" hidden="false" customHeight="false" outlineLevel="0" collapsed="false">
      <c r="A48" s="6"/>
      <c r="B48" s="6"/>
      <c r="C48" s="7"/>
      <c r="D48" s="6"/>
      <c r="E48" s="6"/>
      <c r="F48" s="8"/>
      <c r="G48" s="9"/>
      <c r="H48" s="10" t="str">
        <f aca="false">IF(OR(F48="",G48=""),"",F48*G48)</f>
        <v/>
      </c>
    </row>
    <row r="49" customFormat="false" ht="15" hidden="false" customHeight="false" outlineLevel="0" collapsed="false">
      <c r="A49" s="6"/>
      <c r="B49" s="6"/>
      <c r="C49" s="7"/>
      <c r="D49" s="6"/>
      <c r="E49" s="6"/>
      <c r="F49" s="8"/>
      <c r="G49" s="9"/>
      <c r="H49" s="10" t="str">
        <f aca="false">IF(OR(F49="",G49=""),"",F49*G49)</f>
        <v/>
      </c>
    </row>
    <row r="50" customFormat="false" ht="15" hidden="false" customHeight="false" outlineLevel="0" collapsed="false">
      <c r="A50" s="6"/>
      <c r="B50" s="6"/>
      <c r="C50" s="7"/>
      <c r="D50" s="6"/>
      <c r="E50" s="6"/>
      <c r="F50" s="8"/>
      <c r="G50" s="9"/>
      <c r="H50" s="10" t="str">
        <f aca="false">IF(OR(F50="",G50=""),"",F50*G50)</f>
        <v/>
      </c>
    </row>
    <row r="51" customFormat="false" ht="15" hidden="false" customHeight="false" outlineLevel="0" collapsed="false">
      <c r="A51" s="6"/>
      <c r="B51" s="6"/>
      <c r="C51" s="7"/>
      <c r="D51" s="6"/>
      <c r="E51" s="6"/>
      <c r="F51" s="8"/>
      <c r="G51" s="9"/>
      <c r="H51" s="10" t="str">
        <f aca="false">IF(OR(F51="",G51=""),"",F51*G51)</f>
        <v/>
      </c>
    </row>
    <row r="52" customFormat="false" ht="15" hidden="false" customHeight="false" outlineLevel="0" collapsed="false">
      <c r="A52" s="6"/>
      <c r="B52" s="6"/>
      <c r="C52" s="7"/>
      <c r="D52" s="6"/>
      <c r="E52" s="6"/>
      <c r="F52" s="8"/>
      <c r="G52" s="9"/>
      <c r="H52" s="10" t="str">
        <f aca="false">IF(OR(F52="",G52=""),"",F52*G52)</f>
        <v/>
      </c>
    </row>
    <row r="53" customFormat="false" ht="15" hidden="false" customHeight="false" outlineLevel="0" collapsed="false">
      <c r="A53" s="6"/>
      <c r="B53" s="6"/>
      <c r="C53" s="7"/>
      <c r="D53" s="6"/>
      <c r="E53" s="6"/>
      <c r="F53" s="8"/>
      <c r="G53" s="9"/>
      <c r="H53" s="10" t="str">
        <f aca="false">IF(OR(F53="",G53=""),"",F53*G53)</f>
        <v/>
      </c>
    </row>
    <row r="54" customFormat="false" ht="15" hidden="false" customHeight="false" outlineLevel="0" collapsed="false">
      <c r="A54" s="6"/>
      <c r="B54" s="6"/>
      <c r="C54" s="7"/>
      <c r="D54" s="6"/>
      <c r="E54" s="6"/>
      <c r="F54" s="8"/>
      <c r="G54" s="9"/>
      <c r="H54" s="10" t="str">
        <f aca="false">IF(OR(F54="",G54=""),"",F54*G54)</f>
        <v/>
      </c>
    </row>
    <row r="55" customFormat="false" ht="15" hidden="false" customHeight="false" outlineLevel="0" collapsed="false">
      <c r="A55" s="6"/>
      <c r="B55" s="6"/>
      <c r="C55" s="7"/>
      <c r="D55" s="6"/>
      <c r="E55" s="6"/>
      <c r="F55" s="8"/>
      <c r="G55" s="9"/>
      <c r="H55" s="10" t="str">
        <f aca="false">IF(OR(F55="",G55=""),"",F55*G55)</f>
        <v/>
      </c>
    </row>
    <row r="56" customFormat="false" ht="15" hidden="false" customHeight="false" outlineLevel="0" collapsed="false">
      <c r="A56" s="6"/>
      <c r="B56" s="6"/>
      <c r="C56" s="7"/>
      <c r="D56" s="6"/>
      <c r="E56" s="6"/>
      <c r="F56" s="8"/>
      <c r="G56" s="9"/>
      <c r="H56" s="10" t="str">
        <f aca="false">IF(OR(F56="",G56=""),"",F56*G56)</f>
        <v/>
      </c>
    </row>
    <row r="57" customFormat="false" ht="15" hidden="false" customHeight="false" outlineLevel="0" collapsed="false">
      <c r="A57" s="6"/>
      <c r="B57" s="6"/>
      <c r="C57" s="7"/>
      <c r="D57" s="6"/>
      <c r="E57" s="6"/>
      <c r="F57" s="8"/>
      <c r="G57" s="9"/>
      <c r="H57" s="10" t="str">
        <f aca="false">IF(OR(F57="",G57=""),"",F57*G57)</f>
        <v/>
      </c>
    </row>
    <row r="58" customFormat="false" ht="15" hidden="false" customHeight="false" outlineLevel="0" collapsed="false">
      <c r="A58" s="6"/>
      <c r="B58" s="6"/>
      <c r="C58" s="7"/>
      <c r="D58" s="6"/>
      <c r="E58" s="6"/>
      <c r="F58" s="8"/>
      <c r="G58" s="9"/>
      <c r="H58" s="10" t="str">
        <f aca="false">IF(OR(F58="",G58=""),"",F58*G58)</f>
        <v/>
      </c>
    </row>
    <row r="59" customFormat="false" ht="15" hidden="false" customHeight="false" outlineLevel="0" collapsed="false">
      <c r="A59" s="6"/>
      <c r="B59" s="6"/>
      <c r="C59" s="7"/>
      <c r="D59" s="6"/>
      <c r="E59" s="6"/>
      <c r="F59" s="8"/>
      <c r="G59" s="9"/>
      <c r="H59" s="10" t="str">
        <f aca="false">IF(OR(F59="",G59=""),"",F59*G59)</f>
        <v/>
      </c>
    </row>
    <row r="60" customFormat="false" ht="15" hidden="false" customHeight="false" outlineLevel="0" collapsed="false">
      <c r="A60" s="6"/>
      <c r="B60" s="6"/>
      <c r="C60" s="7"/>
      <c r="D60" s="6"/>
      <c r="E60" s="6"/>
      <c r="F60" s="8"/>
      <c r="G60" s="9"/>
      <c r="H60" s="10" t="str">
        <f aca="false">IF(OR(F60="",G60=""),"",F60*G60)</f>
        <v/>
      </c>
    </row>
    <row r="61" customFormat="false" ht="15" hidden="false" customHeight="false" outlineLevel="0" collapsed="false">
      <c r="A61" s="6"/>
      <c r="B61" s="6"/>
      <c r="C61" s="7"/>
      <c r="D61" s="6"/>
      <c r="E61" s="6"/>
      <c r="F61" s="8"/>
      <c r="G61" s="9"/>
      <c r="H61" s="10" t="str">
        <f aca="false">IF(OR(F61="",G61=""),"",F61*G61)</f>
        <v/>
      </c>
    </row>
    <row r="62" customFormat="false" ht="15" hidden="false" customHeight="false" outlineLevel="0" collapsed="false">
      <c r="A62" s="6"/>
      <c r="B62" s="6"/>
      <c r="C62" s="7"/>
      <c r="D62" s="6"/>
      <c r="E62" s="6"/>
      <c r="F62" s="8"/>
      <c r="G62" s="9"/>
      <c r="H62" s="10" t="str">
        <f aca="false">IF(OR(F62="",G62=""),"",F62*G62)</f>
        <v/>
      </c>
    </row>
    <row r="63" customFormat="false" ht="15" hidden="false" customHeight="false" outlineLevel="0" collapsed="false">
      <c r="A63" s="6"/>
      <c r="B63" s="6"/>
      <c r="C63" s="7"/>
      <c r="D63" s="6"/>
      <c r="E63" s="6"/>
      <c r="F63" s="8"/>
      <c r="G63" s="9"/>
      <c r="H63" s="10" t="str">
        <f aca="false">IF(OR(F63="",G63=""),"",F63*G63)</f>
        <v/>
      </c>
    </row>
    <row r="64" customFormat="false" ht="15" hidden="false" customHeight="false" outlineLevel="0" collapsed="false">
      <c r="A64" s="6"/>
      <c r="B64" s="6"/>
      <c r="C64" s="7"/>
      <c r="D64" s="6"/>
      <c r="E64" s="6"/>
      <c r="F64" s="8"/>
      <c r="G64" s="9"/>
      <c r="H64" s="10" t="str">
        <f aca="false">IF(OR(F64="",G64=""),"",F64*G64)</f>
        <v/>
      </c>
    </row>
    <row r="65" customFormat="false" ht="15" hidden="false" customHeight="false" outlineLevel="0" collapsed="false">
      <c r="A65" s="6"/>
      <c r="B65" s="6"/>
      <c r="C65" s="7"/>
      <c r="D65" s="6"/>
      <c r="E65" s="6"/>
      <c r="F65" s="8"/>
      <c r="G65" s="9"/>
      <c r="H65" s="10" t="str">
        <f aca="false">IF(OR(F65="",G65=""),"",F65*G65)</f>
        <v/>
      </c>
    </row>
    <row r="66" customFormat="false" ht="15" hidden="false" customHeight="false" outlineLevel="0" collapsed="false">
      <c r="A66" s="6"/>
      <c r="B66" s="6"/>
      <c r="C66" s="7"/>
      <c r="D66" s="6"/>
      <c r="E66" s="6"/>
      <c r="F66" s="8"/>
      <c r="G66" s="9"/>
      <c r="H66" s="10" t="str">
        <f aca="false">IF(OR(F66="",G66=""),"",F66*G66)</f>
        <v/>
      </c>
    </row>
    <row r="67" customFormat="false" ht="15" hidden="false" customHeight="false" outlineLevel="0" collapsed="false">
      <c r="A67" s="6"/>
      <c r="B67" s="6"/>
      <c r="C67" s="7"/>
      <c r="D67" s="6"/>
      <c r="E67" s="6"/>
      <c r="F67" s="8"/>
      <c r="G67" s="9"/>
      <c r="H67" s="10" t="str">
        <f aca="false">IF(OR(F67="",G67=""),"",F67*G67)</f>
        <v/>
      </c>
    </row>
    <row r="68" customFormat="false" ht="15" hidden="false" customHeight="false" outlineLevel="0" collapsed="false">
      <c r="A68" s="6"/>
      <c r="B68" s="6"/>
      <c r="C68" s="7"/>
      <c r="D68" s="6"/>
      <c r="E68" s="6"/>
      <c r="F68" s="8"/>
      <c r="G68" s="9"/>
      <c r="H68" s="10" t="str">
        <f aca="false">IF(OR(F68="",G68=""),"",F68*G68)</f>
        <v/>
      </c>
    </row>
    <row r="69" customFormat="false" ht="15" hidden="false" customHeight="false" outlineLevel="0" collapsed="false">
      <c r="A69" s="6"/>
      <c r="B69" s="6"/>
      <c r="C69" s="7"/>
      <c r="D69" s="6"/>
      <c r="E69" s="6"/>
      <c r="F69" s="8"/>
      <c r="G69" s="9"/>
      <c r="H69" s="10" t="str">
        <f aca="false">IF(OR(F69="",G69=""),"",F69*G69)</f>
        <v/>
      </c>
    </row>
    <row r="70" customFormat="false" ht="15" hidden="false" customHeight="false" outlineLevel="0" collapsed="false">
      <c r="A70" s="6"/>
      <c r="B70" s="6"/>
      <c r="C70" s="7"/>
      <c r="D70" s="6"/>
      <c r="E70" s="6"/>
      <c r="F70" s="8"/>
      <c r="G70" s="9"/>
      <c r="H70" s="10" t="str">
        <f aca="false">IF(OR(F70="",G70=""),"",F70*G70)</f>
        <v/>
      </c>
    </row>
    <row r="71" customFormat="false" ht="15" hidden="false" customHeight="false" outlineLevel="0" collapsed="false">
      <c r="A71" s="6"/>
      <c r="B71" s="6"/>
      <c r="C71" s="7"/>
      <c r="D71" s="6"/>
      <c r="E71" s="6"/>
      <c r="F71" s="8"/>
      <c r="G71" s="9"/>
      <c r="H71" s="10" t="str">
        <f aca="false">IF(OR(F71="",G71=""),"",F71*G71)</f>
        <v/>
      </c>
    </row>
    <row r="72" customFormat="false" ht="15" hidden="false" customHeight="false" outlineLevel="0" collapsed="false">
      <c r="A72" s="6"/>
      <c r="B72" s="6"/>
      <c r="C72" s="7"/>
      <c r="D72" s="6"/>
      <c r="E72" s="6"/>
      <c r="F72" s="8"/>
      <c r="G72" s="9"/>
      <c r="H72" s="10" t="str">
        <f aca="false">IF(OR(F72="",G72=""),"",F72*G72)</f>
        <v/>
      </c>
    </row>
    <row r="73" customFormat="false" ht="15" hidden="false" customHeight="false" outlineLevel="0" collapsed="false">
      <c r="A73" s="6"/>
      <c r="B73" s="6"/>
      <c r="C73" s="7"/>
      <c r="D73" s="6"/>
      <c r="E73" s="6"/>
      <c r="F73" s="8"/>
      <c r="G73" s="9"/>
      <c r="H73" s="10" t="str">
        <f aca="false">IF(OR(F73="",G73=""),"",F73*G73)</f>
        <v/>
      </c>
    </row>
    <row r="74" customFormat="false" ht="15" hidden="false" customHeight="false" outlineLevel="0" collapsed="false">
      <c r="A74" s="6"/>
      <c r="B74" s="6"/>
      <c r="C74" s="7"/>
      <c r="D74" s="6"/>
      <c r="E74" s="6"/>
      <c r="F74" s="8"/>
      <c r="G74" s="9"/>
      <c r="H74" s="10" t="str">
        <f aca="false">IF(OR(F74="",G74=""),"",F74*G74)</f>
        <v/>
      </c>
    </row>
    <row r="75" customFormat="false" ht="15" hidden="false" customHeight="false" outlineLevel="0" collapsed="false">
      <c r="A75" s="6"/>
      <c r="B75" s="6"/>
      <c r="C75" s="7"/>
      <c r="D75" s="6"/>
      <c r="E75" s="6"/>
      <c r="F75" s="8"/>
      <c r="G75" s="9"/>
      <c r="H75" s="10" t="str">
        <f aca="false">IF(OR(F75="",G75=""),"",F75*G75)</f>
        <v/>
      </c>
    </row>
    <row r="76" customFormat="false" ht="15" hidden="false" customHeight="false" outlineLevel="0" collapsed="false">
      <c r="A76" s="6"/>
      <c r="B76" s="6"/>
      <c r="C76" s="7"/>
      <c r="D76" s="6"/>
      <c r="E76" s="6"/>
      <c r="F76" s="8"/>
      <c r="G76" s="9"/>
      <c r="H76" s="10" t="str">
        <f aca="false">IF(OR(F76="",G76=""),"",F76*G76)</f>
        <v/>
      </c>
    </row>
    <row r="77" customFormat="false" ht="15" hidden="false" customHeight="false" outlineLevel="0" collapsed="false">
      <c r="A77" s="6"/>
      <c r="B77" s="6"/>
      <c r="C77" s="7"/>
      <c r="D77" s="6"/>
      <c r="E77" s="6"/>
      <c r="F77" s="8"/>
      <c r="G77" s="9"/>
      <c r="H77" s="10" t="str">
        <f aca="false">IF(OR(F77="",G77=""),"",F77*G77)</f>
        <v/>
      </c>
    </row>
    <row r="78" customFormat="false" ht="15" hidden="false" customHeight="false" outlineLevel="0" collapsed="false">
      <c r="A78" s="6"/>
      <c r="B78" s="6"/>
      <c r="C78" s="7"/>
      <c r="D78" s="6"/>
      <c r="E78" s="6"/>
      <c r="F78" s="8"/>
      <c r="G78" s="9"/>
      <c r="H78" s="10" t="str">
        <f aca="false">IF(OR(F78="",G78=""),"",F78*G78)</f>
        <v/>
      </c>
    </row>
    <row r="79" customFormat="false" ht="15" hidden="false" customHeight="false" outlineLevel="0" collapsed="false">
      <c r="A79" s="6"/>
      <c r="B79" s="6"/>
      <c r="C79" s="7"/>
      <c r="D79" s="6"/>
      <c r="E79" s="6"/>
      <c r="F79" s="8"/>
      <c r="G79" s="9"/>
      <c r="H79" s="10" t="str">
        <f aca="false">IF(OR(F79="",G79=""),"",F79*G79)</f>
        <v/>
      </c>
    </row>
    <row r="80" customFormat="false" ht="15" hidden="false" customHeight="false" outlineLevel="0" collapsed="false">
      <c r="A80" s="6"/>
      <c r="B80" s="6"/>
      <c r="C80" s="7"/>
      <c r="D80" s="6"/>
      <c r="E80" s="6"/>
      <c r="F80" s="8"/>
      <c r="G80" s="9"/>
      <c r="H80" s="10" t="str">
        <f aca="false">IF(OR(F80="",G80=""),"",F80*G80)</f>
        <v/>
      </c>
    </row>
    <row r="81" customFormat="false" ht="15" hidden="false" customHeight="false" outlineLevel="0" collapsed="false">
      <c r="A81" s="6"/>
      <c r="B81" s="6"/>
      <c r="C81" s="7"/>
      <c r="D81" s="6"/>
      <c r="E81" s="6"/>
      <c r="F81" s="8"/>
      <c r="G81" s="9"/>
      <c r="H81" s="10" t="str">
        <f aca="false">IF(OR(F81="",G81=""),"",F81*G81)</f>
        <v/>
      </c>
    </row>
    <row r="82" customFormat="false" ht="15" hidden="false" customHeight="false" outlineLevel="0" collapsed="false">
      <c r="A82" s="6"/>
      <c r="B82" s="6"/>
      <c r="C82" s="7"/>
      <c r="D82" s="6"/>
      <c r="E82" s="6"/>
      <c r="F82" s="8"/>
      <c r="G82" s="9"/>
      <c r="H82" s="10" t="str">
        <f aca="false">IF(OR(F82="",G82=""),"",F82*G82)</f>
        <v/>
      </c>
    </row>
    <row r="83" customFormat="false" ht="15" hidden="false" customHeight="false" outlineLevel="0" collapsed="false">
      <c r="A83" s="6"/>
      <c r="B83" s="6"/>
      <c r="C83" s="7"/>
      <c r="D83" s="6"/>
      <c r="E83" s="6"/>
      <c r="F83" s="8"/>
      <c r="G83" s="9"/>
      <c r="H83" s="10" t="str">
        <f aca="false">IF(OR(F83="",G83=""),"",F83*G83)</f>
        <v/>
      </c>
    </row>
    <row r="84" customFormat="false" ht="15" hidden="false" customHeight="false" outlineLevel="0" collapsed="false">
      <c r="A84" s="6"/>
      <c r="B84" s="6"/>
      <c r="C84" s="7"/>
      <c r="D84" s="6"/>
      <c r="E84" s="6"/>
      <c r="F84" s="8"/>
      <c r="G84" s="9"/>
      <c r="H84" s="10" t="str">
        <f aca="false">IF(OR(F84="",G84=""),"",F84*G84)</f>
        <v/>
      </c>
    </row>
    <row r="85" customFormat="false" ht="15" hidden="false" customHeight="false" outlineLevel="0" collapsed="false">
      <c r="A85" s="6"/>
      <c r="B85" s="6"/>
      <c r="C85" s="7"/>
      <c r="D85" s="6"/>
      <c r="E85" s="6"/>
      <c r="F85" s="8"/>
      <c r="G85" s="9"/>
      <c r="H85" s="10" t="str">
        <f aca="false">IF(OR(F85="",G85=""),"",F85*G85)</f>
        <v/>
      </c>
    </row>
    <row r="86" customFormat="false" ht="15" hidden="false" customHeight="false" outlineLevel="0" collapsed="false">
      <c r="A86" s="6"/>
      <c r="B86" s="6"/>
      <c r="C86" s="7"/>
      <c r="D86" s="6"/>
      <c r="E86" s="6"/>
      <c r="F86" s="8"/>
      <c r="G86" s="9"/>
      <c r="H86" s="10" t="str">
        <f aca="false">IF(OR(F86="",G86=""),"",F86*G86)</f>
        <v/>
      </c>
    </row>
    <row r="87" customFormat="false" ht="15" hidden="false" customHeight="false" outlineLevel="0" collapsed="false">
      <c r="A87" s="6"/>
      <c r="B87" s="6"/>
      <c r="C87" s="7"/>
      <c r="D87" s="6"/>
      <c r="E87" s="6"/>
      <c r="F87" s="8"/>
      <c r="G87" s="9"/>
      <c r="H87" s="10" t="str">
        <f aca="false">IF(OR(F87="",G87=""),"",F87*G87)</f>
        <v/>
      </c>
    </row>
    <row r="88" customFormat="false" ht="15" hidden="false" customHeight="false" outlineLevel="0" collapsed="false">
      <c r="A88" s="6"/>
      <c r="B88" s="6"/>
      <c r="C88" s="7"/>
      <c r="D88" s="6"/>
      <c r="E88" s="6"/>
      <c r="F88" s="8"/>
      <c r="G88" s="9"/>
      <c r="H88" s="10" t="str">
        <f aca="false">IF(OR(F88="",G88=""),"",F88*G88)</f>
        <v/>
      </c>
    </row>
    <row r="89" customFormat="false" ht="15" hidden="false" customHeight="false" outlineLevel="0" collapsed="false">
      <c r="A89" s="6"/>
      <c r="B89" s="6"/>
      <c r="C89" s="7"/>
      <c r="D89" s="6"/>
      <c r="E89" s="6"/>
      <c r="F89" s="8"/>
      <c r="G89" s="9"/>
      <c r="H89" s="10" t="str">
        <f aca="false">IF(OR(F89="",G89=""),"",F89*G89)</f>
        <v/>
      </c>
    </row>
    <row r="90" customFormat="false" ht="15" hidden="false" customHeight="false" outlineLevel="0" collapsed="false">
      <c r="A90" s="6"/>
      <c r="B90" s="6"/>
      <c r="C90" s="7"/>
      <c r="D90" s="6"/>
      <c r="E90" s="6"/>
      <c r="F90" s="8"/>
      <c r="G90" s="9"/>
      <c r="H90" s="10" t="str">
        <f aca="false">IF(OR(F90="",G90=""),"",F90*G90)</f>
        <v/>
      </c>
    </row>
    <row r="91" customFormat="false" ht="15" hidden="false" customHeight="false" outlineLevel="0" collapsed="false">
      <c r="A91" s="6"/>
      <c r="B91" s="6"/>
      <c r="C91" s="7"/>
      <c r="D91" s="6"/>
      <c r="E91" s="6"/>
      <c r="F91" s="8"/>
      <c r="G91" s="9"/>
      <c r="H91" s="10" t="str">
        <f aca="false">IF(OR(F91="",G91=""),"",F91*G91)</f>
        <v/>
      </c>
    </row>
    <row r="92" customFormat="false" ht="15" hidden="false" customHeight="false" outlineLevel="0" collapsed="false">
      <c r="A92" s="6"/>
      <c r="B92" s="6"/>
      <c r="C92" s="7"/>
      <c r="D92" s="6"/>
      <c r="E92" s="6"/>
      <c r="F92" s="8"/>
      <c r="G92" s="9"/>
      <c r="H92" s="10" t="str">
        <f aca="false">IF(OR(F92="",G92=""),"",F92*G92)</f>
        <v/>
      </c>
    </row>
    <row r="93" customFormat="false" ht="15" hidden="false" customHeight="false" outlineLevel="0" collapsed="false">
      <c r="A93" s="6"/>
      <c r="B93" s="6"/>
      <c r="C93" s="7"/>
      <c r="D93" s="6"/>
      <c r="E93" s="6"/>
      <c r="F93" s="8"/>
      <c r="G93" s="9"/>
      <c r="H93" s="10" t="str">
        <f aca="false">IF(OR(F93="",G93=""),"",F93*G93)</f>
        <v/>
      </c>
    </row>
    <row r="94" customFormat="false" ht="15" hidden="false" customHeight="false" outlineLevel="0" collapsed="false">
      <c r="A94" s="6"/>
      <c r="B94" s="6"/>
      <c r="C94" s="7"/>
      <c r="D94" s="6"/>
      <c r="E94" s="6"/>
      <c r="F94" s="8"/>
      <c r="G94" s="9"/>
      <c r="H94" s="10" t="str">
        <f aca="false">IF(OR(F94="",G94=""),"",F94*G94)</f>
        <v/>
      </c>
    </row>
    <row r="95" customFormat="false" ht="15" hidden="false" customHeight="false" outlineLevel="0" collapsed="false">
      <c r="A95" s="6"/>
      <c r="B95" s="6"/>
      <c r="C95" s="7"/>
      <c r="D95" s="6"/>
      <c r="E95" s="6"/>
      <c r="F95" s="8"/>
      <c r="G95" s="9"/>
      <c r="H95" s="10" t="str">
        <f aca="false">IF(OR(F95="",G95=""),"",F95*G95)</f>
        <v/>
      </c>
    </row>
    <row r="96" customFormat="false" ht="15" hidden="false" customHeight="false" outlineLevel="0" collapsed="false">
      <c r="A96" s="6"/>
      <c r="B96" s="6"/>
      <c r="C96" s="7"/>
      <c r="D96" s="6"/>
      <c r="E96" s="6"/>
      <c r="F96" s="8"/>
      <c r="G96" s="9"/>
      <c r="H96" s="10" t="str">
        <f aca="false">IF(OR(F96="",G96=""),"",F96*G96)</f>
        <v/>
      </c>
    </row>
    <row r="97" customFormat="false" ht="15" hidden="false" customHeight="false" outlineLevel="0" collapsed="false">
      <c r="A97" s="6"/>
      <c r="B97" s="6"/>
      <c r="C97" s="7"/>
      <c r="D97" s="6"/>
      <c r="E97" s="6"/>
      <c r="F97" s="8"/>
      <c r="G97" s="9"/>
      <c r="H97" s="10" t="str">
        <f aca="false">IF(OR(F97="",G97=""),"",F97*G97)</f>
        <v/>
      </c>
    </row>
    <row r="98" customFormat="false" ht="15" hidden="false" customHeight="false" outlineLevel="0" collapsed="false">
      <c r="A98" s="6"/>
      <c r="B98" s="6"/>
      <c r="C98" s="7"/>
      <c r="D98" s="6"/>
      <c r="E98" s="6"/>
      <c r="F98" s="8"/>
      <c r="G98" s="9"/>
      <c r="H98" s="10" t="str">
        <f aca="false">IF(OR(F98="",G98=""),"",F98*G98)</f>
        <v/>
      </c>
    </row>
    <row r="99" customFormat="false" ht="15" hidden="false" customHeight="false" outlineLevel="0" collapsed="false">
      <c r="A99" s="6"/>
      <c r="B99" s="6"/>
      <c r="C99" s="7"/>
      <c r="D99" s="6"/>
      <c r="E99" s="6"/>
      <c r="F99" s="8"/>
      <c r="G99" s="9"/>
      <c r="H99" s="10" t="str">
        <f aca="false">IF(OR(F99="",G99=""),"",F99*G99)</f>
        <v/>
      </c>
    </row>
    <row r="100" customFormat="false" ht="15" hidden="false" customHeight="false" outlineLevel="0" collapsed="false">
      <c r="A100" s="6"/>
      <c r="B100" s="6"/>
      <c r="C100" s="7"/>
      <c r="D100" s="6"/>
      <c r="E100" s="6"/>
      <c r="F100" s="8"/>
      <c r="G100" s="9"/>
      <c r="H100" s="10" t="str">
        <f aca="false">IF(OR(F100="",G100=""),"",F100*G100)</f>
        <v/>
      </c>
    </row>
    <row r="101" customFormat="false" ht="15" hidden="false" customHeight="false" outlineLevel="0" collapsed="false">
      <c r="A101" s="6"/>
      <c r="B101" s="6"/>
      <c r="C101" s="7"/>
      <c r="D101" s="6"/>
      <c r="E101" s="6"/>
      <c r="F101" s="8"/>
      <c r="G101" s="9"/>
      <c r="H101" s="10" t="str">
        <f aca="false">IF(OR(F101="",G101=""),"",F101*G101)</f>
        <v/>
      </c>
    </row>
  </sheetData>
  <dataValidations count="2">
    <dataValidation allowBlank="true" errorStyle="stop" operator="between" showDropDown="false" showErrorMessage="false" showInputMessage="false" sqref="C2:C101" type="list">
      <formula1>"ของใช้ในบ้าน,ความงาม,จัดระเบียบ,สัตว์เลี้ยง,แฟชั่น,อื่นๆ"</formula1>
      <formula2>0</formula2>
    </dataValidation>
    <dataValidation allowBlank="true" errorStyle="stop" operator="between" showDropDown="false" showErrorMessage="false" showInputMessage="false" sqref="D2:D101" type="list">
      <formula1>"Shopee,TikTok Shop"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2"/>
  </cols>
  <sheetData>
    <row r="1" customFormat="false" ht="36" hidden="false" customHeight="true" outlineLevel="0" collapsed="false">
      <c r="A1" s="5" t="s">
        <v>23</v>
      </c>
      <c r="B1" s="5" t="s">
        <v>24</v>
      </c>
      <c r="C1" s="5" t="s">
        <v>11</v>
      </c>
      <c r="D1" s="5" t="s">
        <v>13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11" t="s">
        <v>32</v>
      </c>
      <c r="M1" s="11" t="s">
        <v>33</v>
      </c>
    </row>
    <row r="2" customFormat="false" ht="15" hidden="false" customHeight="false" outlineLevel="0" collapsed="false">
      <c r="A2" s="12" t="n">
        <v>46307</v>
      </c>
      <c r="B2" s="6" t="s">
        <v>18</v>
      </c>
      <c r="C2" s="13" t="str">
        <f aca="false">IF(B2="","",IFERROR(INDEX(สินค้า!$B$2:$B$101,MATCH(B2,สินค้า!$A$2:$A$101,0)),"ไม่พบรหัส"))</f>
        <v>ที่หั่นผักอเนกประสงค์ (ตัวอย่าง)</v>
      </c>
      <c r="D2" s="14" t="str">
        <f aca="false">IF(B2="","",IFERROR(INDEX(สินค้า!$D$2:$D$101,MATCH(B2,สินค้า!$A$2:$A$101,0)),""))</f>
        <v>Shopee</v>
      </c>
      <c r="E2" s="6" t="s">
        <v>34</v>
      </c>
      <c r="F2" s="8" t="n">
        <v>1200</v>
      </c>
      <c r="G2" s="8" t="n">
        <v>36</v>
      </c>
      <c r="H2" s="8" t="n">
        <v>3</v>
      </c>
      <c r="I2" s="15" t="n">
        <v>267</v>
      </c>
      <c r="J2" s="15"/>
      <c r="K2" s="10" t="n">
        <f aca="false">IF(J2&lt;&gt;"",J2,IF(I2="","",I2*IFERROR(INDEX(สินค้า!$G$2:$G$101,MATCH(B2,สินค้า!$A$2:$A$101,0)),0)))</f>
        <v>21.36</v>
      </c>
      <c r="L2" s="16" t="n">
        <f aca="false">IF(OR(F2="",F2=0,G2=""),"",G2/F2)</f>
        <v>0.03</v>
      </c>
      <c r="M2" s="16" t="n">
        <f aca="false">IF(OR(G2="",G2=0,H2=""),"",H2/G2)</f>
        <v>0.0833333333333333</v>
      </c>
    </row>
    <row r="3" customFormat="false" ht="15" hidden="false" customHeight="false" outlineLevel="0" collapsed="false">
      <c r="A3" s="12"/>
      <c r="B3" s="6"/>
      <c r="C3" s="13" t="str">
        <f aca="false">IF(B3="","",IFERROR(INDEX(สินค้า!$B$2:$B$101,MATCH(B3,สินค้า!$A$2:$A$101,0)),"ไม่พบรหัส"))</f>
        <v/>
      </c>
      <c r="D3" s="14" t="str">
        <f aca="false">IF(B3="","",IFERROR(INDEX(สินค้า!$D$2:$D$101,MATCH(B3,สินค้า!$A$2:$A$101,0)),""))</f>
        <v/>
      </c>
      <c r="E3" s="6"/>
      <c r="F3" s="8"/>
      <c r="G3" s="8"/>
      <c r="H3" s="8"/>
      <c r="I3" s="15"/>
      <c r="J3" s="15"/>
      <c r="K3" s="10" t="str">
        <f aca="false">IF(J3&lt;&gt;"",J3,IF(I3="","",I3*IFERROR(INDEX(สินค้า!$G$2:$G$101,MATCH(B3,สินค้า!$A$2:$A$101,0)),0)))</f>
        <v/>
      </c>
      <c r="L3" s="16" t="str">
        <f aca="false">IF(OR(F3="",F3=0,G3=""),"",G3/F3)</f>
        <v/>
      </c>
      <c r="M3" s="16" t="str">
        <f aca="false">IF(OR(G3="",G3=0,H3=""),"",H3/G3)</f>
        <v/>
      </c>
    </row>
    <row r="4" customFormat="false" ht="15" hidden="false" customHeight="false" outlineLevel="0" collapsed="false">
      <c r="A4" s="12"/>
      <c r="B4" s="6"/>
      <c r="C4" s="13" t="str">
        <f aca="false">IF(B4="","",IFERROR(INDEX(สินค้า!$B$2:$B$101,MATCH(B4,สินค้า!$A$2:$A$101,0)),"ไม่พบรหัส"))</f>
        <v/>
      </c>
      <c r="D4" s="14" t="str">
        <f aca="false">IF(B4="","",IFERROR(INDEX(สินค้า!$D$2:$D$101,MATCH(B4,สินค้า!$A$2:$A$101,0)),""))</f>
        <v/>
      </c>
      <c r="E4" s="6"/>
      <c r="F4" s="8"/>
      <c r="G4" s="8"/>
      <c r="H4" s="8"/>
      <c r="I4" s="15"/>
      <c r="J4" s="15"/>
      <c r="K4" s="10" t="str">
        <f aca="false">IF(J4&lt;&gt;"",J4,IF(I4="","",I4*IFERROR(INDEX(สินค้า!$G$2:$G$101,MATCH(B4,สินค้า!$A$2:$A$101,0)),0)))</f>
        <v/>
      </c>
      <c r="L4" s="16" t="str">
        <f aca="false">IF(OR(F4="",F4=0,G4=""),"",G4/F4)</f>
        <v/>
      </c>
      <c r="M4" s="16" t="str">
        <f aca="false">IF(OR(G4="",G4=0,H4=""),"",H4/G4)</f>
        <v/>
      </c>
    </row>
    <row r="5" customFormat="false" ht="15" hidden="false" customHeight="false" outlineLevel="0" collapsed="false">
      <c r="A5" s="12"/>
      <c r="B5" s="6"/>
      <c r="C5" s="13" t="str">
        <f aca="false">IF(B5="","",IFERROR(INDEX(สินค้า!$B$2:$B$101,MATCH(B5,สินค้า!$A$2:$A$101,0)),"ไม่พบรหัส"))</f>
        <v/>
      </c>
      <c r="D5" s="14" t="str">
        <f aca="false">IF(B5="","",IFERROR(INDEX(สินค้า!$D$2:$D$101,MATCH(B5,สินค้า!$A$2:$A$101,0)),""))</f>
        <v/>
      </c>
      <c r="E5" s="6"/>
      <c r="F5" s="8"/>
      <c r="G5" s="8"/>
      <c r="H5" s="8"/>
      <c r="I5" s="15"/>
      <c r="J5" s="15"/>
      <c r="K5" s="10" t="str">
        <f aca="false">IF(J5&lt;&gt;"",J5,IF(I5="","",I5*IFERROR(INDEX(สินค้า!$G$2:$G$101,MATCH(B5,สินค้า!$A$2:$A$101,0)),0)))</f>
        <v/>
      </c>
      <c r="L5" s="16" t="str">
        <f aca="false">IF(OR(F5="",F5=0,G5=""),"",G5/F5)</f>
        <v/>
      </c>
      <c r="M5" s="16" t="str">
        <f aca="false">IF(OR(G5="",G5=0,H5=""),"",H5/G5)</f>
        <v/>
      </c>
    </row>
    <row r="6" customFormat="false" ht="15" hidden="false" customHeight="false" outlineLevel="0" collapsed="false">
      <c r="A6" s="12"/>
      <c r="B6" s="6"/>
      <c r="C6" s="13" t="str">
        <f aca="false">IF(B6="","",IFERROR(INDEX(สินค้า!$B$2:$B$101,MATCH(B6,สินค้า!$A$2:$A$101,0)),"ไม่พบรหัส"))</f>
        <v/>
      </c>
      <c r="D6" s="14" t="str">
        <f aca="false">IF(B6="","",IFERROR(INDEX(สินค้า!$D$2:$D$101,MATCH(B6,สินค้า!$A$2:$A$101,0)),""))</f>
        <v/>
      </c>
      <c r="E6" s="6"/>
      <c r="F6" s="8"/>
      <c r="G6" s="8"/>
      <c r="H6" s="8"/>
      <c r="I6" s="15"/>
      <c r="J6" s="15"/>
      <c r="K6" s="10" t="str">
        <f aca="false">IF(J6&lt;&gt;"",J6,IF(I6="","",I6*IFERROR(INDEX(สินค้า!$G$2:$G$101,MATCH(B6,สินค้า!$A$2:$A$101,0)),0)))</f>
        <v/>
      </c>
      <c r="L6" s="16" t="str">
        <f aca="false">IF(OR(F6="",F6=0,G6=""),"",G6/F6)</f>
        <v/>
      </c>
      <c r="M6" s="16" t="str">
        <f aca="false">IF(OR(G6="",G6=0,H6=""),"",H6/G6)</f>
        <v/>
      </c>
    </row>
    <row r="7" customFormat="false" ht="15" hidden="false" customHeight="false" outlineLevel="0" collapsed="false">
      <c r="A7" s="12"/>
      <c r="B7" s="6"/>
      <c r="C7" s="13" t="str">
        <f aca="false">IF(B7="","",IFERROR(INDEX(สินค้า!$B$2:$B$101,MATCH(B7,สินค้า!$A$2:$A$101,0)),"ไม่พบรหัส"))</f>
        <v/>
      </c>
      <c r="D7" s="14" t="str">
        <f aca="false">IF(B7="","",IFERROR(INDEX(สินค้า!$D$2:$D$101,MATCH(B7,สินค้า!$A$2:$A$101,0)),""))</f>
        <v/>
      </c>
      <c r="E7" s="6"/>
      <c r="F7" s="8"/>
      <c r="G7" s="8"/>
      <c r="H7" s="8"/>
      <c r="I7" s="15"/>
      <c r="J7" s="15"/>
      <c r="K7" s="10" t="str">
        <f aca="false">IF(J7&lt;&gt;"",J7,IF(I7="","",I7*IFERROR(INDEX(สินค้า!$G$2:$G$101,MATCH(B7,สินค้า!$A$2:$A$101,0)),0)))</f>
        <v/>
      </c>
      <c r="L7" s="16" t="str">
        <f aca="false">IF(OR(F7="",F7=0,G7=""),"",G7/F7)</f>
        <v/>
      </c>
      <c r="M7" s="16" t="str">
        <f aca="false">IF(OR(G7="",G7=0,H7=""),"",H7/G7)</f>
        <v/>
      </c>
    </row>
    <row r="8" customFormat="false" ht="15" hidden="false" customHeight="false" outlineLevel="0" collapsed="false">
      <c r="A8" s="12"/>
      <c r="B8" s="6"/>
      <c r="C8" s="13" t="str">
        <f aca="false">IF(B8="","",IFERROR(INDEX(สินค้า!$B$2:$B$101,MATCH(B8,สินค้า!$A$2:$A$101,0)),"ไม่พบรหัส"))</f>
        <v/>
      </c>
      <c r="D8" s="14" t="str">
        <f aca="false">IF(B8="","",IFERROR(INDEX(สินค้า!$D$2:$D$101,MATCH(B8,สินค้า!$A$2:$A$101,0)),""))</f>
        <v/>
      </c>
      <c r="E8" s="6"/>
      <c r="F8" s="8"/>
      <c r="G8" s="8"/>
      <c r="H8" s="8"/>
      <c r="I8" s="15"/>
      <c r="J8" s="15"/>
      <c r="K8" s="10" t="str">
        <f aca="false">IF(J8&lt;&gt;"",J8,IF(I8="","",I8*IFERROR(INDEX(สินค้า!$G$2:$G$101,MATCH(B8,สินค้า!$A$2:$A$101,0)),0)))</f>
        <v/>
      </c>
      <c r="L8" s="16" t="str">
        <f aca="false">IF(OR(F8="",F8=0,G8=""),"",G8/F8)</f>
        <v/>
      </c>
      <c r="M8" s="16" t="str">
        <f aca="false">IF(OR(G8="",G8=0,H8=""),"",H8/G8)</f>
        <v/>
      </c>
    </row>
    <row r="9" customFormat="false" ht="15" hidden="false" customHeight="false" outlineLevel="0" collapsed="false">
      <c r="A9" s="12"/>
      <c r="B9" s="6"/>
      <c r="C9" s="13" t="str">
        <f aca="false">IF(B9="","",IFERROR(INDEX(สินค้า!$B$2:$B$101,MATCH(B9,สินค้า!$A$2:$A$101,0)),"ไม่พบรหัส"))</f>
        <v/>
      </c>
      <c r="D9" s="14" t="str">
        <f aca="false">IF(B9="","",IFERROR(INDEX(สินค้า!$D$2:$D$101,MATCH(B9,สินค้า!$A$2:$A$101,0)),""))</f>
        <v/>
      </c>
      <c r="E9" s="6"/>
      <c r="F9" s="8"/>
      <c r="G9" s="8"/>
      <c r="H9" s="8"/>
      <c r="I9" s="15"/>
      <c r="J9" s="15"/>
      <c r="K9" s="10" t="str">
        <f aca="false">IF(J9&lt;&gt;"",J9,IF(I9="","",I9*IFERROR(INDEX(สินค้า!$G$2:$G$101,MATCH(B9,สินค้า!$A$2:$A$101,0)),0)))</f>
        <v/>
      </c>
      <c r="L9" s="16" t="str">
        <f aca="false">IF(OR(F9="",F9=0,G9=""),"",G9/F9)</f>
        <v/>
      </c>
      <c r="M9" s="16" t="str">
        <f aca="false">IF(OR(G9="",G9=0,H9=""),"",H9/G9)</f>
        <v/>
      </c>
    </row>
    <row r="10" customFormat="false" ht="15" hidden="false" customHeight="false" outlineLevel="0" collapsed="false">
      <c r="A10" s="12"/>
      <c r="B10" s="6"/>
      <c r="C10" s="13" t="str">
        <f aca="false">IF(B10="","",IFERROR(INDEX(สินค้า!$B$2:$B$101,MATCH(B10,สินค้า!$A$2:$A$101,0)),"ไม่พบรหัส"))</f>
        <v/>
      </c>
      <c r="D10" s="14" t="str">
        <f aca="false">IF(B10="","",IFERROR(INDEX(สินค้า!$D$2:$D$101,MATCH(B10,สินค้า!$A$2:$A$101,0)),""))</f>
        <v/>
      </c>
      <c r="E10" s="6"/>
      <c r="F10" s="8"/>
      <c r="G10" s="8"/>
      <c r="H10" s="8"/>
      <c r="I10" s="15"/>
      <c r="J10" s="15"/>
      <c r="K10" s="10" t="str">
        <f aca="false">IF(J10&lt;&gt;"",J10,IF(I10="","",I10*IFERROR(INDEX(สินค้า!$G$2:$G$101,MATCH(B10,สินค้า!$A$2:$A$101,0)),0)))</f>
        <v/>
      </c>
      <c r="L10" s="16" t="str">
        <f aca="false">IF(OR(F10="",F10=0,G10=""),"",G10/F10)</f>
        <v/>
      </c>
      <c r="M10" s="16" t="str">
        <f aca="false">IF(OR(G10="",G10=0,H10=""),"",H10/G10)</f>
        <v/>
      </c>
    </row>
    <row r="11" customFormat="false" ht="15" hidden="false" customHeight="false" outlineLevel="0" collapsed="false">
      <c r="A11" s="12"/>
      <c r="B11" s="6"/>
      <c r="C11" s="13" t="str">
        <f aca="false">IF(B11="","",IFERROR(INDEX(สินค้า!$B$2:$B$101,MATCH(B11,สินค้า!$A$2:$A$101,0)),"ไม่พบรหัส"))</f>
        <v/>
      </c>
      <c r="D11" s="14" t="str">
        <f aca="false">IF(B11="","",IFERROR(INDEX(สินค้า!$D$2:$D$101,MATCH(B11,สินค้า!$A$2:$A$101,0)),""))</f>
        <v/>
      </c>
      <c r="E11" s="6"/>
      <c r="F11" s="8"/>
      <c r="G11" s="8"/>
      <c r="H11" s="8"/>
      <c r="I11" s="15"/>
      <c r="J11" s="15"/>
      <c r="K11" s="10" t="str">
        <f aca="false">IF(J11&lt;&gt;"",J11,IF(I11="","",I11*IFERROR(INDEX(สินค้า!$G$2:$G$101,MATCH(B11,สินค้า!$A$2:$A$101,0)),0)))</f>
        <v/>
      </c>
      <c r="L11" s="16" t="str">
        <f aca="false">IF(OR(F11="",F11=0,G11=""),"",G11/F11)</f>
        <v/>
      </c>
      <c r="M11" s="16" t="str">
        <f aca="false">IF(OR(G11="",G11=0,H11=""),"",H11/G11)</f>
        <v/>
      </c>
    </row>
    <row r="12" customFormat="false" ht="15" hidden="false" customHeight="false" outlineLevel="0" collapsed="false">
      <c r="A12" s="12"/>
      <c r="B12" s="6"/>
      <c r="C12" s="13" t="str">
        <f aca="false">IF(B12="","",IFERROR(INDEX(สินค้า!$B$2:$B$101,MATCH(B12,สินค้า!$A$2:$A$101,0)),"ไม่พบรหัส"))</f>
        <v/>
      </c>
      <c r="D12" s="14" t="str">
        <f aca="false">IF(B12="","",IFERROR(INDEX(สินค้า!$D$2:$D$101,MATCH(B12,สินค้า!$A$2:$A$101,0)),""))</f>
        <v/>
      </c>
      <c r="E12" s="6"/>
      <c r="F12" s="8"/>
      <c r="G12" s="8"/>
      <c r="H12" s="8"/>
      <c r="I12" s="15"/>
      <c r="J12" s="15"/>
      <c r="K12" s="10" t="str">
        <f aca="false">IF(J12&lt;&gt;"",J12,IF(I12="","",I12*IFERROR(INDEX(สินค้า!$G$2:$G$101,MATCH(B12,สินค้า!$A$2:$A$101,0)),0)))</f>
        <v/>
      </c>
      <c r="L12" s="16" t="str">
        <f aca="false">IF(OR(F12="",F12=0,G12=""),"",G12/F12)</f>
        <v/>
      </c>
      <c r="M12" s="16" t="str">
        <f aca="false">IF(OR(G12="",G12=0,H12=""),"",H12/G12)</f>
        <v/>
      </c>
    </row>
    <row r="13" customFormat="false" ht="15" hidden="false" customHeight="false" outlineLevel="0" collapsed="false">
      <c r="A13" s="12"/>
      <c r="B13" s="6"/>
      <c r="C13" s="13" t="str">
        <f aca="false">IF(B13="","",IFERROR(INDEX(สินค้า!$B$2:$B$101,MATCH(B13,สินค้า!$A$2:$A$101,0)),"ไม่พบรหัส"))</f>
        <v/>
      </c>
      <c r="D13" s="14" t="str">
        <f aca="false">IF(B13="","",IFERROR(INDEX(สินค้า!$D$2:$D$101,MATCH(B13,สินค้า!$A$2:$A$101,0)),""))</f>
        <v/>
      </c>
      <c r="E13" s="6"/>
      <c r="F13" s="8"/>
      <c r="G13" s="8"/>
      <c r="H13" s="8"/>
      <c r="I13" s="15"/>
      <c r="J13" s="15"/>
      <c r="K13" s="10" t="str">
        <f aca="false">IF(J13&lt;&gt;"",J13,IF(I13="","",I13*IFERROR(INDEX(สินค้า!$G$2:$G$101,MATCH(B13,สินค้า!$A$2:$A$101,0)),0)))</f>
        <v/>
      </c>
      <c r="L13" s="16" t="str">
        <f aca="false">IF(OR(F13="",F13=0,G13=""),"",G13/F13)</f>
        <v/>
      </c>
      <c r="M13" s="16" t="str">
        <f aca="false">IF(OR(G13="",G13=0,H13=""),"",H13/G13)</f>
        <v/>
      </c>
    </row>
    <row r="14" customFormat="false" ht="15" hidden="false" customHeight="false" outlineLevel="0" collapsed="false">
      <c r="A14" s="12"/>
      <c r="B14" s="6"/>
      <c r="C14" s="13" t="str">
        <f aca="false">IF(B14="","",IFERROR(INDEX(สินค้า!$B$2:$B$101,MATCH(B14,สินค้า!$A$2:$A$101,0)),"ไม่พบรหัส"))</f>
        <v/>
      </c>
      <c r="D14" s="14" t="str">
        <f aca="false">IF(B14="","",IFERROR(INDEX(สินค้า!$D$2:$D$101,MATCH(B14,สินค้า!$A$2:$A$101,0)),""))</f>
        <v/>
      </c>
      <c r="E14" s="6"/>
      <c r="F14" s="8"/>
      <c r="G14" s="8"/>
      <c r="H14" s="8"/>
      <c r="I14" s="15"/>
      <c r="J14" s="15"/>
      <c r="K14" s="10" t="str">
        <f aca="false">IF(J14&lt;&gt;"",J14,IF(I14="","",I14*IFERROR(INDEX(สินค้า!$G$2:$G$101,MATCH(B14,สินค้า!$A$2:$A$101,0)),0)))</f>
        <v/>
      </c>
      <c r="L14" s="16" t="str">
        <f aca="false">IF(OR(F14="",F14=0,G14=""),"",G14/F14)</f>
        <v/>
      </c>
      <c r="M14" s="16" t="str">
        <f aca="false">IF(OR(G14="",G14=0,H14=""),"",H14/G14)</f>
        <v/>
      </c>
    </row>
    <row r="15" customFormat="false" ht="15" hidden="false" customHeight="false" outlineLevel="0" collapsed="false">
      <c r="A15" s="12"/>
      <c r="B15" s="6"/>
      <c r="C15" s="13" t="str">
        <f aca="false">IF(B15="","",IFERROR(INDEX(สินค้า!$B$2:$B$101,MATCH(B15,สินค้า!$A$2:$A$101,0)),"ไม่พบรหัส"))</f>
        <v/>
      </c>
      <c r="D15" s="14" t="str">
        <f aca="false">IF(B15="","",IFERROR(INDEX(สินค้า!$D$2:$D$101,MATCH(B15,สินค้า!$A$2:$A$101,0)),""))</f>
        <v/>
      </c>
      <c r="E15" s="6"/>
      <c r="F15" s="8"/>
      <c r="G15" s="8"/>
      <c r="H15" s="8"/>
      <c r="I15" s="15"/>
      <c r="J15" s="15"/>
      <c r="K15" s="10" t="str">
        <f aca="false">IF(J15&lt;&gt;"",J15,IF(I15="","",I15*IFERROR(INDEX(สินค้า!$G$2:$G$101,MATCH(B15,สินค้า!$A$2:$A$101,0)),0)))</f>
        <v/>
      </c>
      <c r="L15" s="16" t="str">
        <f aca="false">IF(OR(F15="",F15=0,G15=""),"",G15/F15)</f>
        <v/>
      </c>
      <c r="M15" s="16" t="str">
        <f aca="false">IF(OR(G15="",G15=0,H15=""),"",H15/G15)</f>
        <v/>
      </c>
    </row>
    <row r="16" customFormat="false" ht="15" hidden="false" customHeight="false" outlineLevel="0" collapsed="false">
      <c r="A16" s="12"/>
      <c r="B16" s="6"/>
      <c r="C16" s="13" t="str">
        <f aca="false">IF(B16="","",IFERROR(INDEX(สินค้า!$B$2:$B$101,MATCH(B16,สินค้า!$A$2:$A$101,0)),"ไม่พบรหัส"))</f>
        <v/>
      </c>
      <c r="D16" s="14" t="str">
        <f aca="false">IF(B16="","",IFERROR(INDEX(สินค้า!$D$2:$D$101,MATCH(B16,สินค้า!$A$2:$A$101,0)),""))</f>
        <v/>
      </c>
      <c r="E16" s="6"/>
      <c r="F16" s="8"/>
      <c r="G16" s="8"/>
      <c r="H16" s="8"/>
      <c r="I16" s="15"/>
      <c r="J16" s="15"/>
      <c r="K16" s="10" t="str">
        <f aca="false">IF(J16&lt;&gt;"",J16,IF(I16="","",I16*IFERROR(INDEX(สินค้า!$G$2:$G$101,MATCH(B16,สินค้า!$A$2:$A$101,0)),0)))</f>
        <v/>
      </c>
      <c r="L16" s="16" t="str">
        <f aca="false">IF(OR(F16="",F16=0,G16=""),"",G16/F16)</f>
        <v/>
      </c>
      <c r="M16" s="16" t="str">
        <f aca="false">IF(OR(G16="",G16=0,H16=""),"",H16/G16)</f>
        <v/>
      </c>
    </row>
    <row r="17" customFormat="false" ht="15" hidden="false" customHeight="false" outlineLevel="0" collapsed="false">
      <c r="A17" s="12"/>
      <c r="B17" s="6"/>
      <c r="C17" s="13" t="str">
        <f aca="false">IF(B17="","",IFERROR(INDEX(สินค้า!$B$2:$B$101,MATCH(B17,สินค้า!$A$2:$A$101,0)),"ไม่พบรหัส"))</f>
        <v/>
      </c>
      <c r="D17" s="14" t="str">
        <f aca="false">IF(B17="","",IFERROR(INDEX(สินค้า!$D$2:$D$101,MATCH(B17,สินค้า!$A$2:$A$101,0)),""))</f>
        <v/>
      </c>
      <c r="E17" s="6"/>
      <c r="F17" s="8"/>
      <c r="G17" s="8"/>
      <c r="H17" s="8"/>
      <c r="I17" s="15"/>
      <c r="J17" s="15"/>
      <c r="K17" s="10" t="str">
        <f aca="false">IF(J17&lt;&gt;"",J17,IF(I17="","",I17*IFERROR(INDEX(สินค้า!$G$2:$G$101,MATCH(B17,สินค้า!$A$2:$A$101,0)),0)))</f>
        <v/>
      </c>
      <c r="L17" s="16" t="str">
        <f aca="false">IF(OR(F17="",F17=0,G17=""),"",G17/F17)</f>
        <v/>
      </c>
      <c r="M17" s="16" t="str">
        <f aca="false">IF(OR(G17="",G17=0,H17=""),"",H17/G17)</f>
        <v/>
      </c>
    </row>
    <row r="18" customFormat="false" ht="15" hidden="false" customHeight="false" outlineLevel="0" collapsed="false">
      <c r="A18" s="12"/>
      <c r="B18" s="6"/>
      <c r="C18" s="13" t="str">
        <f aca="false">IF(B18="","",IFERROR(INDEX(สินค้า!$B$2:$B$101,MATCH(B18,สินค้า!$A$2:$A$101,0)),"ไม่พบรหัส"))</f>
        <v/>
      </c>
      <c r="D18" s="14" t="str">
        <f aca="false">IF(B18="","",IFERROR(INDEX(สินค้า!$D$2:$D$101,MATCH(B18,สินค้า!$A$2:$A$101,0)),""))</f>
        <v/>
      </c>
      <c r="E18" s="6"/>
      <c r="F18" s="8"/>
      <c r="G18" s="8"/>
      <c r="H18" s="8"/>
      <c r="I18" s="15"/>
      <c r="J18" s="15"/>
      <c r="K18" s="10" t="str">
        <f aca="false">IF(J18&lt;&gt;"",J18,IF(I18="","",I18*IFERROR(INDEX(สินค้า!$G$2:$G$101,MATCH(B18,สินค้า!$A$2:$A$101,0)),0)))</f>
        <v/>
      </c>
      <c r="L18" s="16" t="str">
        <f aca="false">IF(OR(F18="",F18=0,G18=""),"",G18/F18)</f>
        <v/>
      </c>
      <c r="M18" s="16" t="str">
        <f aca="false">IF(OR(G18="",G18=0,H18=""),"",H18/G18)</f>
        <v/>
      </c>
    </row>
    <row r="19" customFormat="false" ht="15" hidden="false" customHeight="false" outlineLevel="0" collapsed="false">
      <c r="A19" s="12"/>
      <c r="B19" s="6"/>
      <c r="C19" s="13" t="str">
        <f aca="false">IF(B19="","",IFERROR(INDEX(สินค้า!$B$2:$B$101,MATCH(B19,สินค้า!$A$2:$A$101,0)),"ไม่พบรหัส"))</f>
        <v/>
      </c>
      <c r="D19" s="14" t="str">
        <f aca="false">IF(B19="","",IFERROR(INDEX(สินค้า!$D$2:$D$101,MATCH(B19,สินค้า!$A$2:$A$101,0)),""))</f>
        <v/>
      </c>
      <c r="E19" s="6"/>
      <c r="F19" s="8"/>
      <c r="G19" s="8"/>
      <c r="H19" s="8"/>
      <c r="I19" s="15"/>
      <c r="J19" s="15"/>
      <c r="K19" s="10" t="str">
        <f aca="false">IF(J19&lt;&gt;"",J19,IF(I19="","",I19*IFERROR(INDEX(สินค้า!$G$2:$G$101,MATCH(B19,สินค้า!$A$2:$A$101,0)),0)))</f>
        <v/>
      </c>
      <c r="L19" s="16" t="str">
        <f aca="false">IF(OR(F19="",F19=0,G19=""),"",G19/F19)</f>
        <v/>
      </c>
      <c r="M19" s="16" t="str">
        <f aca="false">IF(OR(G19="",G19=0,H19=""),"",H19/G19)</f>
        <v/>
      </c>
    </row>
    <row r="20" customFormat="false" ht="15" hidden="false" customHeight="false" outlineLevel="0" collapsed="false">
      <c r="A20" s="12"/>
      <c r="B20" s="6"/>
      <c r="C20" s="13" t="str">
        <f aca="false">IF(B20="","",IFERROR(INDEX(สินค้า!$B$2:$B$101,MATCH(B20,สินค้า!$A$2:$A$101,0)),"ไม่พบรหัส"))</f>
        <v/>
      </c>
      <c r="D20" s="14" t="str">
        <f aca="false">IF(B20="","",IFERROR(INDEX(สินค้า!$D$2:$D$101,MATCH(B20,สินค้า!$A$2:$A$101,0)),""))</f>
        <v/>
      </c>
      <c r="E20" s="6"/>
      <c r="F20" s="8"/>
      <c r="G20" s="8"/>
      <c r="H20" s="8"/>
      <c r="I20" s="15"/>
      <c r="J20" s="15"/>
      <c r="K20" s="10" t="str">
        <f aca="false">IF(J20&lt;&gt;"",J20,IF(I20="","",I20*IFERROR(INDEX(สินค้า!$G$2:$G$101,MATCH(B20,สินค้า!$A$2:$A$101,0)),0)))</f>
        <v/>
      </c>
      <c r="L20" s="16" t="str">
        <f aca="false">IF(OR(F20="",F20=0,G20=""),"",G20/F20)</f>
        <v/>
      </c>
      <c r="M20" s="16" t="str">
        <f aca="false">IF(OR(G20="",G20=0,H20=""),"",H20/G20)</f>
        <v/>
      </c>
    </row>
    <row r="21" customFormat="false" ht="15" hidden="false" customHeight="false" outlineLevel="0" collapsed="false">
      <c r="A21" s="12"/>
      <c r="B21" s="6"/>
      <c r="C21" s="13" t="str">
        <f aca="false">IF(B21="","",IFERROR(INDEX(สินค้า!$B$2:$B$101,MATCH(B21,สินค้า!$A$2:$A$101,0)),"ไม่พบรหัส"))</f>
        <v/>
      </c>
      <c r="D21" s="14" t="str">
        <f aca="false">IF(B21="","",IFERROR(INDEX(สินค้า!$D$2:$D$101,MATCH(B21,สินค้า!$A$2:$A$101,0)),""))</f>
        <v/>
      </c>
      <c r="E21" s="6"/>
      <c r="F21" s="8"/>
      <c r="G21" s="8"/>
      <c r="H21" s="8"/>
      <c r="I21" s="15"/>
      <c r="J21" s="15"/>
      <c r="K21" s="10" t="str">
        <f aca="false">IF(J21&lt;&gt;"",J21,IF(I21="","",I21*IFERROR(INDEX(สินค้า!$G$2:$G$101,MATCH(B21,สินค้า!$A$2:$A$101,0)),0)))</f>
        <v/>
      </c>
      <c r="L21" s="16" t="str">
        <f aca="false">IF(OR(F21="",F21=0,G21=""),"",G21/F21)</f>
        <v/>
      </c>
      <c r="M21" s="16" t="str">
        <f aca="false">IF(OR(G21="",G21=0,H21=""),"",H21/G21)</f>
        <v/>
      </c>
    </row>
    <row r="22" customFormat="false" ht="15" hidden="false" customHeight="false" outlineLevel="0" collapsed="false">
      <c r="A22" s="12"/>
      <c r="B22" s="6"/>
      <c r="C22" s="13" t="str">
        <f aca="false">IF(B22="","",IFERROR(INDEX(สินค้า!$B$2:$B$101,MATCH(B22,สินค้า!$A$2:$A$101,0)),"ไม่พบรหัส"))</f>
        <v/>
      </c>
      <c r="D22" s="14" t="str">
        <f aca="false">IF(B22="","",IFERROR(INDEX(สินค้า!$D$2:$D$101,MATCH(B22,สินค้า!$A$2:$A$101,0)),""))</f>
        <v/>
      </c>
      <c r="E22" s="6"/>
      <c r="F22" s="8"/>
      <c r="G22" s="8"/>
      <c r="H22" s="8"/>
      <c r="I22" s="15"/>
      <c r="J22" s="15"/>
      <c r="K22" s="10" t="str">
        <f aca="false">IF(J22&lt;&gt;"",J22,IF(I22="","",I22*IFERROR(INDEX(สินค้า!$G$2:$G$101,MATCH(B22,สินค้า!$A$2:$A$101,0)),0)))</f>
        <v/>
      </c>
      <c r="L22" s="16" t="str">
        <f aca="false">IF(OR(F22="",F22=0,G22=""),"",G22/F22)</f>
        <v/>
      </c>
      <c r="M22" s="16" t="str">
        <f aca="false">IF(OR(G22="",G22=0,H22=""),"",H22/G22)</f>
        <v/>
      </c>
    </row>
    <row r="23" customFormat="false" ht="15" hidden="false" customHeight="false" outlineLevel="0" collapsed="false">
      <c r="A23" s="12"/>
      <c r="B23" s="6"/>
      <c r="C23" s="13" t="str">
        <f aca="false">IF(B23="","",IFERROR(INDEX(สินค้า!$B$2:$B$101,MATCH(B23,สินค้า!$A$2:$A$101,0)),"ไม่พบรหัส"))</f>
        <v/>
      </c>
      <c r="D23" s="14" t="str">
        <f aca="false">IF(B23="","",IFERROR(INDEX(สินค้า!$D$2:$D$101,MATCH(B23,สินค้า!$A$2:$A$101,0)),""))</f>
        <v/>
      </c>
      <c r="E23" s="6"/>
      <c r="F23" s="8"/>
      <c r="G23" s="8"/>
      <c r="H23" s="8"/>
      <c r="I23" s="15"/>
      <c r="J23" s="15"/>
      <c r="K23" s="10" t="str">
        <f aca="false">IF(J23&lt;&gt;"",J23,IF(I23="","",I23*IFERROR(INDEX(สินค้า!$G$2:$G$101,MATCH(B23,สินค้า!$A$2:$A$101,0)),0)))</f>
        <v/>
      </c>
      <c r="L23" s="16" t="str">
        <f aca="false">IF(OR(F23="",F23=0,G23=""),"",G23/F23)</f>
        <v/>
      </c>
      <c r="M23" s="16" t="str">
        <f aca="false">IF(OR(G23="",G23=0,H23=""),"",H23/G23)</f>
        <v/>
      </c>
    </row>
    <row r="24" customFormat="false" ht="15" hidden="false" customHeight="false" outlineLevel="0" collapsed="false">
      <c r="A24" s="12"/>
      <c r="B24" s="6"/>
      <c r="C24" s="13" t="str">
        <f aca="false">IF(B24="","",IFERROR(INDEX(สินค้า!$B$2:$B$101,MATCH(B24,สินค้า!$A$2:$A$101,0)),"ไม่พบรหัส"))</f>
        <v/>
      </c>
      <c r="D24" s="14" t="str">
        <f aca="false">IF(B24="","",IFERROR(INDEX(สินค้า!$D$2:$D$101,MATCH(B24,สินค้า!$A$2:$A$101,0)),""))</f>
        <v/>
      </c>
      <c r="E24" s="6"/>
      <c r="F24" s="8"/>
      <c r="G24" s="8"/>
      <c r="H24" s="8"/>
      <c r="I24" s="15"/>
      <c r="J24" s="15"/>
      <c r="K24" s="10" t="str">
        <f aca="false">IF(J24&lt;&gt;"",J24,IF(I24="","",I24*IFERROR(INDEX(สินค้า!$G$2:$G$101,MATCH(B24,สินค้า!$A$2:$A$101,0)),0)))</f>
        <v/>
      </c>
      <c r="L24" s="16" t="str">
        <f aca="false">IF(OR(F24="",F24=0,G24=""),"",G24/F24)</f>
        <v/>
      </c>
      <c r="M24" s="16" t="str">
        <f aca="false">IF(OR(G24="",G24=0,H24=""),"",H24/G24)</f>
        <v/>
      </c>
    </row>
    <row r="25" customFormat="false" ht="15" hidden="false" customHeight="false" outlineLevel="0" collapsed="false">
      <c r="A25" s="12"/>
      <c r="B25" s="6"/>
      <c r="C25" s="13" t="str">
        <f aca="false">IF(B25="","",IFERROR(INDEX(สินค้า!$B$2:$B$101,MATCH(B25,สินค้า!$A$2:$A$101,0)),"ไม่พบรหัส"))</f>
        <v/>
      </c>
      <c r="D25" s="14" t="str">
        <f aca="false">IF(B25="","",IFERROR(INDEX(สินค้า!$D$2:$D$101,MATCH(B25,สินค้า!$A$2:$A$101,0)),""))</f>
        <v/>
      </c>
      <c r="E25" s="6"/>
      <c r="F25" s="8"/>
      <c r="G25" s="8"/>
      <c r="H25" s="8"/>
      <c r="I25" s="15"/>
      <c r="J25" s="15"/>
      <c r="K25" s="10" t="str">
        <f aca="false">IF(J25&lt;&gt;"",J25,IF(I25="","",I25*IFERROR(INDEX(สินค้า!$G$2:$G$101,MATCH(B25,สินค้า!$A$2:$A$101,0)),0)))</f>
        <v/>
      </c>
      <c r="L25" s="16" t="str">
        <f aca="false">IF(OR(F25="",F25=0,G25=""),"",G25/F25)</f>
        <v/>
      </c>
      <c r="M25" s="16" t="str">
        <f aca="false">IF(OR(G25="",G25=0,H25=""),"",H25/G25)</f>
        <v/>
      </c>
    </row>
    <row r="26" customFormat="false" ht="15" hidden="false" customHeight="false" outlineLevel="0" collapsed="false">
      <c r="A26" s="12"/>
      <c r="B26" s="6"/>
      <c r="C26" s="13" t="str">
        <f aca="false">IF(B26="","",IFERROR(INDEX(สินค้า!$B$2:$B$101,MATCH(B26,สินค้า!$A$2:$A$101,0)),"ไม่พบรหัส"))</f>
        <v/>
      </c>
      <c r="D26" s="14" t="str">
        <f aca="false">IF(B26="","",IFERROR(INDEX(สินค้า!$D$2:$D$101,MATCH(B26,สินค้า!$A$2:$A$101,0)),""))</f>
        <v/>
      </c>
      <c r="E26" s="6"/>
      <c r="F26" s="8"/>
      <c r="G26" s="8"/>
      <c r="H26" s="8"/>
      <c r="I26" s="15"/>
      <c r="J26" s="15"/>
      <c r="K26" s="10" t="str">
        <f aca="false">IF(J26&lt;&gt;"",J26,IF(I26="","",I26*IFERROR(INDEX(สินค้า!$G$2:$G$101,MATCH(B26,สินค้า!$A$2:$A$101,0)),0)))</f>
        <v/>
      </c>
      <c r="L26" s="16" t="str">
        <f aca="false">IF(OR(F26="",F26=0,G26=""),"",G26/F26)</f>
        <v/>
      </c>
      <c r="M26" s="16" t="str">
        <f aca="false">IF(OR(G26="",G26=0,H26=""),"",H26/G26)</f>
        <v/>
      </c>
    </row>
    <row r="27" customFormat="false" ht="15" hidden="false" customHeight="false" outlineLevel="0" collapsed="false">
      <c r="A27" s="12"/>
      <c r="B27" s="6"/>
      <c r="C27" s="13" t="str">
        <f aca="false">IF(B27="","",IFERROR(INDEX(สินค้า!$B$2:$B$101,MATCH(B27,สินค้า!$A$2:$A$101,0)),"ไม่พบรหัส"))</f>
        <v/>
      </c>
      <c r="D27" s="14" t="str">
        <f aca="false">IF(B27="","",IFERROR(INDEX(สินค้า!$D$2:$D$101,MATCH(B27,สินค้า!$A$2:$A$101,0)),""))</f>
        <v/>
      </c>
      <c r="E27" s="6"/>
      <c r="F27" s="8"/>
      <c r="G27" s="8"/>
      <c r="H27" s="8"/>
      <c r="I27" s="15"/>
      <c r="J27" s="15"/>
      <c r="K27" s="10" t="str">
        <f aca="false">IF(J27&lt;&gt;"",J27,IF(I27="","",I27*IFERROR(INDEX(สินค้า!$G$2:$G$101,MATCH(B27,สินค้า!$A$2:$A$101,0)),0)))</f>
        <v/>
      </c>
      <c r="L27" s="16" t="str">
        <f aca="false">IF(OR(F27="",F27=0,G27=""),"",G27/F27)</f>
        <v/>
      </c>
      <c r="M27" s="16" t="str">
        <f aca="false">IF(OR(G27="",G27=0,H27=""),"",H27/G27)</f>
        <v/>
      </c>
    </row>
    <row r="28" customFormat="false" ht="15" hidden="false" customHeight="false" outlineLevel="0" collapsed="false">
      <c r="A28" s="12"/>
      <c r="B28" s="6"/>
      <c r="C28" s="13" t="str">
        <f aca="false">IF(B28="","",IFERROR(INDEX(สินค้า!$B$2:$B$101,MATCH(B28,สินค้า!$A$2:$A$101,0)),"ไม่พบรหัส"))</f>
        <v/>
      </c>
      <c r="D28" s="14" t="str">
        <f aca="false">IF(B28="","",IFERROR(INDEX(สินค้า!$D$2:$D$101,MATCH(B28,สินค้า!$A$2:$A$101,0)),""))</f>
        <v/>
      </c>
      <c r="E28" s="6"/>
      <c r="F28" s="8"/>
      <c r="G28" s="8"/>
      <c r="H28" s="8"/>
      <c r="I28" s="15"/>
      <c r="J28" s="15"/>
      <c r="K28" s="10" t="str">
        <f aca="false">IF(J28&lt;&gt;"",J28,IF(I28="","",I28*IFERROR(INDEX(สินค้า!$G$2:$G$101,MATCH(B28,สินค้า!$A$2:$A$101,0)),0)))</f>
        <v/>
      </c>
      <c r="L28" s="16" t="str">
        <f aca="false">IF(OR(F28="",F28=0,G28=""),"",G28/F28)</f>
        <v/>
      </c>
      <c r="M28" s="16" t="str">
        <f aca="false">IF(OR(G28="",G28=0,H28=""),"",H28/G28)</f>
        <v/>
      </c>
    </row>
    <row r="29" customFormat="false" ht="15" hidden="false" customHeight="false" outlineLevel="0" collapsed="false">
      <c r="A29" s="12"/>
      <c r="B29" s="6"/>
      <c r="C29" s="13" t="str">
        <f aca="false">IF(B29="","",IFERROR(INDEX(สินค้า!$B$2:$B$101,MATCH(B29,สินค้า!$A$2:$A$101,0)),"ไม่พบรหัส"))</f>
        <v/>
      </c>
      <c r="D29" s="14" t="str">
        <f aca="false">IF(B29="","",IFERROR(INDEX(สินค้า!$D$2:$D$101,MATCH(B29,สินค้า!$A$2:$A$101,0)),""))</f>
        <v/>
      </c>
      <c r="E29" s="6"/>
      <c r="F29" s="8"/>
      <c r="G29" s="8"/>
      <c r="H29" s="8"/>
      <c r="I29" s="15"/>
      <c r="J29" s="15"/>
      <c r="K29" s="10" t="str">
        <f aca="false">IF(J29&lt;&gt;"",J29,IF(I29="","",I29*IFERROR(INDEX(สินค้า!$G$2:$G$101,MATCH(B29,สินค้า!$A$2:$A$101,0)),0)))</f>
        <v/>
      </c>
      <c r="L29" s="16" t="str">
        <f aca="false">IF(OR(F29="",F29=0,G29=""),"",G29/F29)</f>
        <v/>
      </c>
      <c r="M29" s="16" t="str">
        <f aca="false">IF(OR(G29="",G29=0,H29=""),"",H29/G29)</f>
        <v/>
      </c>
    </row>
    <row r="30" customFormat="false" ht="15" hidden="false" customHeight="false" outlineLevel="0" collapsed="false">
      <c r="A30" s="12"/>
      <c r="B30" s="6"/>
      <c r="C30" s="13" t="str">
        <f aca="false">IF(B30="","",IFERROR(INDEX(สินค้า!$B$2:$B$101,MATCH(B30,สินค้า!$A$2:$A$101,0)),"ไม่พบรหัส"))</f>
        <v/>
      </c>
      <c r="D30" s="14" t="str">
        <f aca="false">IF(B30="","",IFERROR(INDEX(สินค้า!$D$2:$D$101,MATCH(B30,สินค้า!$A$2:$A$101,0)),""))</f>
        <v/>
      </c>
      <c r="E30" s="6"/>
      <c r="F30" s="8"/>
      <c r="G30" s="8"/>
      <c r="H30" s="8"/>
      <c r="I30" s="15"/>
      <c r="J30" s="15"/>
      <c r="K30" s="10" t="str">
        <f aca="false">IF(J30&lt;&gt;"",J30,IF(I30="","",I30*IFERROR(INDEX(สินค้า!$G$2:$G$101,MATCH(B30,สินค้า!$A$2:$A$101,0)),0)))</f>
        <v/>
      </c>
      <c r="L30" s="16" t="str">
        <f aca="false">IF(OR(F30="",F30=0,G30=""),"",G30/F30)</f>
        <v/>
      </c>
      <c r="M30" s="16" t="str">
        <f aca="false">IF(OR(G30="",G30=0,H30=""),"",H30/G30)</f>
        <v/>
      </c>
    </row>
    <row r="31" customFormat="false" ht="15" hidden="false" customHeight="false" outlineLevel="0" collapsed="false">
      <c r="A31" s="12"/>
      <c r="B31" s="6"/>
      <c r="C31" s="13" t="str">
        <f aca="false">IF(B31="","",IFERROR(INDEX(สินค้า!$B$2:$B$101,MATCH(B31,สินค้า!$A$2:$A$101,0)),"ไม่พบรหัส"))</f>
        <v/>
      </c>
      <c r="D31" s="14" t="str">
        <f aca="false">IF(B31="","",IFERROR(INDEX(สินค้า!$D$2:$D$101,MATCH(B31,สินค้า!$A$2:$A$101,0)),""))</f>
        <v/>
      </c>
      <c r="E31" s="6"/>
      <c r="F31" s="8"/>
      <c r="G31" s="8"/>
      <c r="H31" s="8"/>
      <c r="I31" s="15"/>
      <c r="J31" s="15"/>
      <c r="K31" s="10" t="str">
        <f aca="false">IF(J31&lt;&gt;"",J31,IF(I31="","",I31*IFERROR(INDEX(สินค้า!$G$2:$G$101,MATCH(B31,สินค้า!$A$2:$A$101,0)),0)))</f>
        <v/>
      </c>
      <c r="L31" s="16" t="str">
        <f aca="false">IF(OR(F31="",F31=0,G31=""),"",G31/F31)</f>
        <v/>
      </c>
      <c r="M31" s="16" t="str">
        <f aca="false">IF(OR(G31="",G31=0,H31=""),"",H31/G31)</f>
        <v/>
      </c>
    </row>
    <row r="32" customFormat="false" ht="15" hidden="false" customHeight="false" outlineLevel="0" collapsed="false">
      <c r="A32" s="12"/>
      <c r="B32" s="6"/>
      <c r="C32" s="13" t="str">
        <f aca="false">IF(B32="","",IFERROR(INDEX(สินค้า!$B$2:$B$101,MATCH(B32,สินค้า!$A$2:$A$101,0)),"ไม่พบรหัส"))</f>
        <v/>
      </c>
      <c r="D32" s="14" t="str">
        <f aca="false">IF(B32="","",IFERROR(INDEX(สินค้า!$D$2:$D$101,MATCH(B32,สินค้า!$A$2:$A$101,0)),""))</f>
        <v/>
      </c>
      <c r="E32" s="6"/>
      <c r="F32" s="8"/>
      <c r="G32" s="8"/>
      <c r="H32" s="8"/>
      <c r="I32" s="15"/>
      <c r="J32" s="15"/>
      <c r="K32" s="10" t="str">
        <f aca="false">IF(J32&lt;&gt;"",J32,IF(I32="","",I32*IFERROR(INDEX(สินค้า!$G$2:$G$101,MATCH(B32,สินค้า!$A$2:$A$101,0)),0)))</f>
        <v/>
      </c>
      <c r="L32" s="16" t="str">
        <f aca="false">IF(OR(F32="",F32=0,G32=""),"",G32/F32)</f>
        <v/>
      </c>
      <c r="M32" s="16" t="str">
        <f aca="false">IF(OR(G32="",G32=0,H32=""),"",H32/G32)</f>
        <v/>
      </c>
    </row>
    <row r="33" customFormat="false" ht="15" hidden="false" customHeight="false" outlineLevel="0" collapsed="false">
      <c r="A33" s="12"/>
      <c r="B33" s="6"/>
      <c r="C33" s="13" t="str">
        <f aca="false">IF(B33="","",IFERROR(INDEX(สินค้า!$B$2:$B$101,MATCH(B33,สินค้า!$A$2:$A$101,0)),"ไม่พบรหัส"))</f>
        <v/>
      </c>
      <c r="D33" s="14" t="str">
        <f aca="false">IF(B33="","",IFERROR(INDEX(สินค้า!$D$2:$D$101,MATCH(B33,สินค้า!$A$2:$A$101,0)),""))</f>
        <v/>
      </c>
      <c r="E33" s="6"/>
      <c r="F33" s="8"/>
      <c r="G33" s="8"/>
      <c r="H33" s="8"/>
      <c r="I33" s="15"/>
      <c r="J33" s="15"/>
      <c r="K33" s="10" t="str">
        <f aca="false">IF(J33&lt;&gt;"",J33,IF(I33="","",I33*IFERROR(INDEX(สินค้า!$G$2:$G$101,MATCH(B33,สินค้า!$A$2:$A$101,0)),0)))</f>
        <v/>
      </c>
      <c r="L33" s="16" t="str">
        <f aca="false">IF(OR(F33="",F33=0,G33=""),"",G33/F33)</f>
        <v/>
      </c>
      <c r="M33" s="16" t="str">
        <f aca="false">IF(OR(G33="",G33=0,H33=""),"",H33/G33)</f>
        <v/>
      </c>
    </row>
    <row r="34" customFormat="false" ht="15" hidden="false" customHeight="false" outlineLevel="0" collapsed="false">
      <c r="A34" s="12"/>
      <c r="B34" s="6"/>
      <c r="C34" s="13" t="str">
        <f aca="false">IF(B34="","",IFERROR(INDEX(สินค้า!$B$2:$B$101,MATCH(B34,สินค้า!$A$2:$A$101,0)),"ไม่พบรหัส"))</f>
        <v/>
      </c>
      <c r="D34" s="14" t="str">
        <f aca="false">IF(B34="","",IFERROR(INDEX(สินค้า!$D$2:$D$101,MATCH(B34,สินค้า!$A$2:$A$101,0)),""))</f>
        <v/>
      </c>
      <c r="E34" s="6"/>
      <c r="F34" s="8"/>
      <c r="G34" s="8"/>
      <c r="H34" s="8"/>
      <c r="I34" s="15"/>
      <c r="J34" s="15"/>
      <c r="K34" s="10" t="str">
        <f aca="false">IF(J34&lt;&gt;"",J34,IF(I34="","",I34*IFERROR(INDEX(สินค้า!$G$2:$G$101,MATCH(B34,สินค้า!$A$2:$A$101,0)),0)))</f>
        <v/>
      </c>
      <c r="L34" s="16" t="str">
        <f aca="false">IF(OR(F34="",F34=0,G34=""),"",G34/F34)</f>
        <v/>
      </c>
      <c r="M34" s="16" t="str">
        <f aca="false">IF(OR(G34="",G34=0,H34=""),"",H34/G34)</f>
        <v/>
      </c>
    </row>
    <row r="35" customFormat="false" ht="15" hidden="false" customHeight="false" outlineLevel="0" collapsed="false">
      <c r="A35" s="12"/>
      <c r="B35" s="6"/>
      <c r="C35" s="13" t="str">
        <f aca="false">IF(B35="","",IFERROR(INDEX(สินค้า!$B$2:$B$101,MATCH(B35,สินค้า!$A$2:$A$101,0)),"ไม่พบรหัส"))</f>
        <v/>
      </c>
      <c r="D35" s="14" t="str">
        <f aca="false">IF(B35="","",IFERROR(INDEX(สินค้า!$D$2:$D$101,MATCH(B35,สินค้า!$A$2:$A$101,0)),""))</f>
        <v/>
      </c>
      <c r="E35" s="6"/>
      <c r="F35" s="8"/>
      <c r="G35" s="8"/>
      <c r="H35" s="8"/>
      <c r="I35" s="15"/>
      <c r="J35" s="15"/>
      <c r="K35" s="10" t="str">
        <f aca="false">IF(J35&lt;&gt;"",J35,IF(I35="","",I35*IFERROR(INDEX(สินค้า!$G$2:$G$101,MATCH(B35,สินค้า!$A$2:$A$101,0)),0)))</f>
        <v/>
      </c>
      <c r="L35" s="16" t="str">
        <f aca="false">IF(OR(F35="",F35=0,G35=""),"",G35/F35)</f>
        <v/>
      </c>
      <c r="M35" s="16" t="str">
        <f aca="false">IF(OR(G35="",G35=0,H35=""),"",H35/G35)</f>
        <v/>
      </c>
    </row>
    <row r="36" customFormat="false" ht="15" hidden="false" customHeight="false" outlineLevel="0" collapsed="false">
      <c r="A36" s="12"/>
      <c r="B36" s="6"/>
      <c r="C36" s="13" t="str">
        <f aca="false">IF(B36="","",IFERROR(INDEX(สินค้า!$B$2:$B$101,MATCH(B36,สินค้า!$A$2:$A$101,0)),"ไม่พบรหัส"))</f>
        <v/>
      </c>
      <c r="D36" s="14" t="str">
        <f aca="false">IF(B36="","",IFERROR(INDEX(สินค้า!$D$2:$D$101,MATCH(B36,สินค้า!$A$2:$A$101,0)),""))</f>
        <v/>
      </c>
      <c r="E36" s="6"/>
      <c r="F36" s="8"/>
      <c r="G36" s="8"/>
      <c r="H36" s="8"/>
      <c r="I36" s="15"/>
      <c r="J36" s="15"/>
      <c r="K36" s="10" t="str">
        <f aca="false">IF(J36&lt;&gt;"",J36,IF(I36="","",I36*IFERROR(INDEX(สินค้า!$G$2:$G$101,MATCH(B36,สินค้า!$A$2:$A$101,0)),0)))</f>
        <v/>
      </c>
      <c r="L36" s="16" t="str">
        <f aca="false">IF(OR(F36="",F36=0,G36=""),"",G36/F36)</f>
        <v/>
      </c>
      <c r="M36" s="16" t="str">
        <f aca="false">IF(OR(G36="",G36=0,H36=""),"",H36/G36)</f>
        <v/>
      </c>
    </row>
    <row r="37" customFormat="false" ht="15" hidden="false" customHeight="false" outlineLevel="0" collapsed="false">
      <c r="A37" s="12"/>
      <c r="B37" s="6"/>
      <c r="C37" s="13" t="str">
        <f aca="false">IF(B37="","",IFERROR(INDEX(สินค้า!$B$2:$B$101,MATCH(B37,สินค้า!$A$2:$A$101,0)),"ไม่พบรหัส"))</f>
        <v/>
      </c>
      <c r="D37" s="14" t="str">
        <f aca="false">IF(B37="","",IFERROR(INDEX(สินค้า!$D$2:$D$101,MATCH(B37,สินค้า!$A$2:$A$101,0)),""))</f>
        <v/>
      </c>
      <c r="E37" s="6"/>
      <c r="F37" s="8"/>
      <c r="G37" s="8"/>
      <c r="H37" s="8"/>
      <c r="I37" s="15"/>
      <c r="J37" s="15"/>
      <c r="K37" s="10" t="str">
        <f aca="false">IF(J37&lt;&gt;"",J37,IF(I37="","",I37*IFERROR(INDEX(สินค้า!$G$2:$G$101,MATCH(B37,สินค้า!$A$2:$A$101,0)),0)))</f>
        <v/>
      </c>
      <c r="L37" s="16" t="str">
        <f aca="false">IF(OR(F37="",F37=0,G37=""),"",G37/F37)</f>
        <v/>
      </c>
      <c r="M37" s="16" t="str">
        <f aca="false">IF(OR(G37="",G37=0,H37=""),"",H37/G37)</f>
        <v/>
      </c>
    </row>
    <row r="38" customFormat="false" ht="15" hidden="false" customHeight="false" outlineLevel="0" collapsed="false">
      <c r="A38" s="12"/>
      <c r="B38" s="6"/>
      <c r="C38" s="13" t="str">
        <f aca="false">IF(B38="","",IFERROR(INDEX(สินค้า!$B$2:$B$101,MATCH(B38,สินค้า!$A$2:$A$101,0)),"ไม่พบรหัส"))</f>
        <v/>
      </c>
      <c r="D38" s="14" t="str">
        <f aca="false">IF(B38="","",IFERROR(INDEX(สินค้า!$D$2:$D$101,MATCH(B38,สินค้า!$A$2:$A$101,0)),""))</f>
        <v/>
      </c>
      <c r="E38" s="6"/>
      <c r="F38" s="8"/>
      <c r="G38" s="8"/>
      <c r="H38" s="8"/>
      <c r="I38" s="15"/>
      <c r="J38" s="15"/>
      <c r="K38" s="10" t="str">
        <f aca="false">IF(J38&lt;&gt;"",J38,IF(I38="","",I38*IFERROR(INDEX(สินค้า!$G$2:$G$101,MATCH(B38,สินค้า!$A$2:$A$101,0)),0)))</f>
        <v/>
      </c>
      <c r="L38" s="16" t="str">
        <f aca="false">IF(OR(F38="",F38=0,G38=""),"",G38/F38)</f>
        <v/>
      </c>
      <c r="M38" s="16" t="str">
        <f aca="false">IF(OR(G38="",G38=0,H38=""),"",H38/G38)</f>
        <v/>
      </c>
    </row>
    <row r="39" customFormat="false" ht="15" hidden="false" customHeight="false" outlineLevel="0" collapsed="false">
      <c r="A39" s="12"/>
      <c r="B39" s="6"/>
      <c r="C39" s="13" t="str">
        <f aca="false">IF(B39="","",IFERROR(INDEX(สินค้า!$B$2:$B$101,MATCH(B39,สินค้า!$A$2:$A$101,0)),"ไม่พบรหัส"))</f>
        <v/>
      </c>
      <c r="D39" s="14" t="str">
        <f aca="false">IF(B39="","",IFERROR(INDEX(สินค้า!$D$2:$D$101,MATCH(B39,สินค้า!$A$2:$A$101,0)),""))</f>
        <v/>
      </c>
      <c r="E39" s="6"/>
      <c r="F39" s="8"/>
      <c r="G39" s="8"/>
      <c r="H39" s="8"/>
      <c r="I39" s="15"/>
      <c r="J39" s="15"/>
      <c r="K39" s="10" t="str">
        <f aca="false">IF(J39&lt;&gt;"",J39,IF(I39="","",I39*IFERROR(INDEX(สินค้า!$G$2:$G$101,MATCH(B39,สินค้า!$A$2:$A$101,0)),0)))</f>
        <v/>
      </c>
      <c r="L39" s="16" t="str">
        <f aca="false">IF(OR(F39="",F39=0,G39=""),"",G39/F39)</f>
        <v/>
      </c>
      <c r="M39" s="16" t="str">
        <f aca="false">IF(OR(G39="",G39=0,H39=""),"",H39/G39)</f>
        <v/>
      </c>
    </row>
    <row r="40" customFormat="false" ht="15" hidden="false" customHeight="false" outlineLevel="0" collapsed="false">
      <c r="A40" s="12"/>
      <c r="B40" s="6"/>
      <c r="C40" s="13" t="str">
        <f aca="false">IF(B40="","",IFERROR(INDEX(สินค้า!$B$2:$B$101,MATCH(B40,สินค้า!$A$2:$A$101,0)),"ไม่พบรหัส"))</f>
        <v/>
      </c>
      <c r="D40" s="14" t="str">
        <f aca="false">IF(B40="","",IFERROR(INDEX(สินค้า!$D$2:$D$101,MATCH(B40,สินค้า!$A$2:$A$101,0)),""))</f>
        <v/>
      </c>
      <c r="E40" s="6"/>
      <c r="F40" s="8"/>
      <c r="G40" s="8"/>
      <c r="H40" s="8"/>
      <c r="I40" s="15"/>
      <c r="J40" s="15"/>
      <c r="K40" s="10" t="str">
        <f aca="false">IF(J40&lt;&gt;"",J40,IF(I40="","",I40*IFERROR(INDEX(สินค้า!$G$2:$G$101,MATCH(B40,สินค้า!$A$2:$A$101,0)),0)))</f>
        <v/>
      </c>
      <c r="L40" s="16" t="str">
        <f aca="false">IF(OR(F40="",F40=0,G40=""),"",G40/F40)</f>
        <v/>
      </c>
      <c r="M40" s="16" t="str">
        <f aca="false">IF(OR(G40="",G40=0,H40=""),"",H40/G40)</f>
        <v/>
      </c>
    </row>
    <row r="41" customFormat="false" ht="15" hidden="false" customHeight="false" outlineLevel="0" collapsed="false">
      <c r="A41" s="12"/>
      <c r="B41" s="6"/>
      <c r="C41" s="13" t="str">
        <f aca="false">IF(B41="","",IFERROR(INDEX(สินค้า!$B$2:$B$101,MATCH(B41,สินค้า!$A$2:$A$101,0)),"ไม่พบรหัส"))</f>
        <v/>
      </c>
      <c r="D41" s="14" t="str">
        <f aca="false">IF(B41="","",IFERROR(INDEX(สินค้า!$D$2:$D$101,MATCH(B41,สินค้า!$A$2:$A$101,0)),""))</f>
        <v/>
      </c>
      <c r="E41" s="6"/>
      <c r="F41" s="8"/>
      <c r="G41" s="8"/>
      <c r="H41" s="8"/>
      <c r="I41" s="15"/>
      <c r="J41" s="15"/>
      <c r="K41" s="10" t="str">
        <f aca="false">IF(J41&lt;&gt;"",J41,IF(I41="","",I41*IFERROR(INDEX(สินค้า!$G$2:$G$101,MATCH(B41,สินค้า!$A$2:$A$101,0)),0)))</f>
        <v/>
      </c>
      <c r="L41" s="16" t="str">
        <f aca="false">IF(OR(F41="",F41=0,G41=""),"",G41/F41)</f>
        <v/>
      </c>
      <c r="M41" s="16" t="str">
        <f aca="false">IF(OR(G41="",G41=0,H41=""),"",H41/G41)</f>
        <v/>
      </c>
    </row>
    <row r="42" customFormat="false" ht="15" hidden="false" customHeight="false" outlineLevel="0" collapsed="false">
      <c r="A42" s="12"/>
      <c r="B42" s="6"/>
      <c r="C42" s="13" t="str">
        <f aca="false">IF(B42="","",IFERROR(INDEX(สินค้า!$B$2:$B$101,MATCH(B42,สินค้า!$A$2:$A$101,0)),"ไม่พบรหัส"))</f>
        <v/>
      </c>
      <c r="D42" s="14" t="str">
        <f aca="false">IF(B42="","",IFERROR(INDEX(สินค้า!$D$2:$D$101,MATCH(B42,สินค้า!$A$2:$A$101,0)),""))</f>
        <v/>
      </c>
      <c r="E42" s="6"/>
      <c r="F42" s="8"/>
      <c r="G42" s="8"/>
      <c r="H42" s="8"/>
      <c r="I42" s="15"/>
      <c r="J42" s="15"/>
      <c r="K42" s="10" t="str">
        <f aca="false">IF(J42&lt;&gt;"",J42,IF(I42="","",I42*IFERROR(INDEX(สินค้า!$G$2:$G$101,MATCH(B42,สินค้า!$A$2:$A$101,0)),0)))</f>
        <v/>
      </c>
      <c r="L42" s="16" t="str">
        <f aca="false">IF(OR(F42="",F42=0,G42=""),"",G42/F42)</f>
        <v/>
      </c>
      <c r="M42" s="16" t="str">
        <f aca="false">IF(OR(G42="",G42=0,H42=""),"",H42/G42)</f>
        <v/>
      </c>
    </row>
    <row r="43" customFormat="false" ht="15" hidden="false" customHeight="false" outlineLevel="0" collapsed="false">
      <c r="A43" s="12"/>
      <c r="B43" s="6"/>
      <c r="C43" s="13" t="str">
        <f aca="false">IF(B43="","",IFERROR(INDEX(สินค้า!$B$2:$B$101,MATCH(B43,สินค้า!$A$2:$A$101,0)),"ไม่พบรหัส"))</f>
        <v/>
      </c>
      <c r="D43" s="14" t="str">
        <f aca="false">IF(B43="","",IFERROR(INDEX(สินค้า!$D$2:$D$101,MATCH(B43,สินค้า!$A$2:$A$101,0)),""))</f>
        <v/>
      </c>
      <c r="E43" s="6"/>
      <c r="F43" s="8"/>
      <c r="G43" s="8"/>
      <c r="H43" s="8"/>
      <c r="I43" s="15"/>
      <c r="J43" s="15"/>
      <c r="K43" s="10" t="str">
        <f aca="false">IF(J43&lt;&gt;"",J43,IF(I43="","",I43*IFERROR(INDEX(สินค้า!$G$2:$G$101,MATCH(B43,สินค้า!$A$2:$A$101,0)),0)))</f>
        <v/>
      </c>
      <c r="L43" s="16" t="str">
        <f aca="false">IF(OR(F43="",F43=0,G43=""),"",G43/F43)</f>
        <v/>
      </c>
      <c r="M43" s="16" t="str">
        <f aca="false">IF(OR(G43="",G43=0,H43=""),"",H43/G43)</f>
        <v/>
      </c>
    </row>
    <row r="44" customFormat="false" ht="15" hidden="false" customHeight="false" outlineLevel="0" collapsed="false">
      <c r="A44" s="12"/>
      <c r="B44" s="6"/>
      <c r="C44" s="13" t="str">
        <f aca="false">IF(B44="","",IFERROR(INDEX(สินค้า!$B$2:$B$101,MATCH(B44,สินค้า!$A$2:$A$101,0)),"ไม่พบรหัส"))</f>
        <v/>
      </c>
      <c r="D44" s="14" t="str">
        <f aca="false">IF(B44="","",IFERROR(INDEX(สินค้า!$D$2:$D$101,MATCH(B44,สินค้า!$A$2:$A$101,0)),""))</f>
        <v/>
      </c>
      <c r="E44" s="6"/>
      <c r="F44" s="8"/>
      <c r="G44" s="8"/>
      <c r="H44" s="8"/>
      <c r="I44" s="15"/>
      <c r="J44" s="15"/>
      <c r="K44" s="10" t="str">
        <f aca="false">IF(J44&lt;&gt;"",J44,IF(I44="","",I44*IFERROR(INDEX(สินค้า!$G$2:$G$101,MATCH(B44,สินค้า!$A$2:$A$101,0)),0)))</f>
        <v/>
      </c>
      <c r="L44" s="16" t="str">
        <f aca="false">IF(OR(F44="",F44=0,G44=""),"",G44/F44)</f>
        <v/>
      </c>
      <c r="M44" s="16" t="str">
        <f aca="false">IF(OR(G44="",G44=0,H44=""),"",H44/G44)</f>
        <v/>
      </c>
    </row>
    <row r="45" customFormat="false" ht="15" hidden="false" customHeight="false" outlineLevel="0" collapsed="false">
      <c r="A45" s="12"/>
      <c r="B45" s="6"/>
      <c r="C45" s="13" t="str">
        <f aca="false">IF(B45="","",IFERROR(INDEX(สินค้า!$B$2:$B$101,MATCH(B45,สินค้า!$A$2:$A$101,0)),"ไม่พบรหัส"))</f>
        <v/>
      </c>
      <c r="D45" s="14" t="str">
        <f aca="false">IF(B45="","",IFERROR(INDEX(สินค้า!$D$2:$D$101,MATCH(B45,สินค้า!$A$2:$A$101,0)),""))</f>
        <v/>
      </c>
      <c r="E45" s="6"/>
      <c r="F45" s="8"/>
      <c r="G45" s="8"/>
      <c r="H45" s="8"/>
      <c r="I45" s="15"/>
      <c r="J45" s="15"/>
      <c r="K45" s="10" t="str">
        <f aca="false">IF(J45&lt;&gt;"",J45,IF(I45="","",I45*IFERROR(INDEX(สินค้า!$G$2:$G$101,MATCH(B45,สินค้า!$A$2:$A$101,0)),0)))</f>
        <v/>
      </c>
      <c r="L45" s="16" t="str">
        <f aca="false">IF(OR(F45="",F45=0,G45=""),"",G45/F45)</f>
        <v/>
      </c>
      <c r="M45" s="16" t="str">
        <f aca="false">IF(OR(G45="",G45=0,H45=""),"",H45/G45)</f>
        <v/>
      </c>
    </row>
    <row r="46" customFormat="false" ht="15" hidden="false" customHeight="false" outlineLevel="0" collapsed="false">
      <c r="A46" s="12"/>
      <c r="B46" s="6"/>
      <c r="C46" s="13" t="str">
        <f aca="false">IF(B46="","",IFERROR(INDEX(สินค้า!$B$2:$B$101,MATCH(B46,สินค้า!$A$2:$A$101,0)),"ไม่พบรหัส"))</f>
        <v/>
      </c>
      <c r="D46" s="14" t="str">
        <f aca="false">IF(B46="","",IFERROR(INDEX(สินค้า!$D$2:$D$101,MATCH(B46,สินค้า!$A$2:$A$101,0)),""))</f>
        <v/>
      </c>
      <c r="E46" s="6"/>
      <c r="F46" s="8"/>
      <c r="G46" s="8"/>
      <c r="H46" s="8"/>
      <c r="I46" s="15"/>
      <c r="J46" s="15"/>
      <c r="K46" s="10" t="str">
        <f aca="false">IF(J46&lt;&gt;"",J46,IF(I46="","",I46*IFERROR(INDEX(สินค้า!$G$2:$G$101,MATCH(B46,สินค้า!$A$2:$A$101,0)),0)))</f>
        <v/>
      </c>
      <c r="L46" s="16" t="str">
        <f aca="false">IF(OR(F46="",F46=0,G46=""),"",G46/F46)</f>
        <v/>
      </c>
      <c r="M46" s="16" t="str">
        <f aca="false">IF(OR(G46="",G46=0,H46=""),"",H46/G46)</f>
        <v/>
      </c>
    </row>
    <row r="47" customFormat="false" ht="15" hidden="false" customHeight="false" outlineLevel="0" collapsed="false">
      <c r="A47" s="12"/>
      <c r="B47" s="6"/>
      <c r="C47" s="13" t="str">
        <f aca="false">IF(B47="","",IFERROR(INDEX(สินค้า!$B$2:$B$101,MATCH(B47,สินค้า!$A$2:$A$101,0)),"ไม่พบรหัส"))</f>
        <v/>
      </c>
      <c r="D47" s="14" t="str">
        <f aca="false">IF(B47="","",IFERROR(INDEX(สินค้า!$D$2:$D$101,MATCH(B47,สินค้า!$A$2:$A$101,0)),""))</f>
        <v/>
      </c>
      <c r="E47" s="6"/>
      <c r="F47" s="8"/>
      <c r="G47" s="8"/>
      <c r="H47" s="8"/>
      <c r="I47" s="15"/>
      <c r="J47" s="15"/>
      <c r="K47" s="10" t="str">
        <f aca="false">IF(J47&lt;&gt;"",J47,IF(I47="","",I47*IFERROR(INDEX(สินค้า!$G$2:$G$101,MATCH(B47,สินค้า!$A$2:$A$101,0)),0)))</f>
        <v/>
      </c>
      <c r="L47" s="16" t="str">
        <f aca="false">IF(OR(F47="",F47=0,G47=""),"",G47/F47)</f>
        <v/>
      </c>
      <c r="M47" s="16" t="str">
        <f aca="false">IF(OR(G47="",G47=0,H47=""),"",H47/G47)</f>
        <v/>
      </c>
    </row>
    <row r="48" customFormat="false" ht="15" hidden="false" customHeight="false" outlineLevel="0" collapsed="false">
      <c r="A48" s="12"/>
      <c r="B48" s="6"/>
      <c r="C48" s="13" t="str">
        <f aca="false">IF(B48="","",IFERROR(INDEX(สินค้า!$B$2:$B$101,MATCH(B48,สินค้า!$A$2:$A$101,0)),"ไม่พบรหัส"))</f>
        <v/>
      </c>
      <c r="D48" s="14" t="str">
        <f aca="false">IF(B48="","",IFERROR(INDEX(สินค้า!$D$2:$D$101,MATCH(B48,สินค้า!$A$2:$A$101,0)),""))</f>
        <v/>
      </c>
      <c r="E48" s="6"/>
      <c r="F48" s="8"/>
      <c r="G48" s="8"/>
      <c r="H48" s="8"/>
      <c r="I48" s="15"/>
      <c r="J48" s="15"/>
      <c r="K48" s="10" t="str">
        <f aca="false">IF(J48&lt;&gt;"",J48,IF(I48="","",I48*IFERROR(INDEX(สินค้า!$G$2:$G$101,MATCH(B48,สินค้า!$A$2:$A$101,0)),0)))</f>
        <v/>
      </c>
      <c r="L48" s="16" t="str">
        <f aca="false">IF(OR(F48="",F48=0,G48=""),"",G48/F48)</f>
        <v/>
      </c>
      <c r="M48" s="16" t="str">
        <f aca="false">IF(OR(G48="",G48=0,H48=""),"",H48/G48)</f>
        <v/>
      </c>
    </row>
    <row r="49" customFormat="false" ht="15" hidden="false" customHeight="false" outlineLevel="0" collapsed="false">
      <c r="A49" s="12"/>
      <c r="B49" s="6"/>
      <c r="C49" s="13" t="str">
        <f aca="false">IF(B49="","",IFERROR(INDEX(สินค้า!$B$2:$B$101,MATCH(B49,สินค้า!$A$2:$A$101,0)),"ไม่พบรหัส"))</f>
        <v/>
      </c>
      <c r="D49" s="14" t="str">
        <f aca="false">IF(B49="","",IFERROR(INDEX(สินค้า!$D$2:$D$101,MATCH(B49,สินค้า!$A$2:$A$101,0)),""))</f>
        <v/>
      </c>
      <c r="E49" s="6"/>
      <c r="F49" s="8"/>
      <c r="G49" s="8"/>
      <c r="H49" s="8"/>
      <c r="I49" s="15"/>
      <c r="J49" s="15"/>
      <c r="K49" s="10" t="str">
        <f aca="false">IF(J49&lt;&gt;"",J49,IF(I49="","",I49*IFERROR(INDEX(สินค้า!$G$2:$G$101,MATCH(B49,สินค้า!$A$2:$A$101,0)),0)))</f>
        <v/>
      </c>
      <c r="L49" s="16" t="str">
        <f aca="false">IF(OR(F49="",F49=0,G49=""),"",G49/F49)</f>
        <v/>
      </c>
      <c r="M49" s="16" t="str">
        <f aca="false">IF(OR(G49="",G49=0,H49=""),"",H49/G49)</f>
        <v/>
      </c>
    </row>
    <row r="50" customFormat="false" ht="15" hidden="false" customHeight="false" outlineLevel="0" collapsed="false">
      <c r="A50" s="12"/>
      <c r="B50" s="6"/>
      <c r="C50" s="13" t="str">
        <f aca="false">IF(B50="","",IFERROR(INDEX(สินค้า!$B$2:$B$101,MATCH(B50,สินค้า!$A$2:$A$101,0)),"ไม่พบรหัส"))</f>
        <v/>
      </c>
      <c r="D50" s="14" t="str">
        <f aca="false">IF(B50="","",IFERROR(INDEX(สินค้า!$D$2:$D$101,MATCH(B50,สินค้า!$A$2:$A$101,0)),""))</f>
        <v/>
      </c>
      <c r="E50" s="6"/>
      <c r="F50" s="8"/>
      <c r="G50" s="8"/>
      <c r="H50" s="8"/>
      <c r="I50" s="15"/>
      <c r="J50" s="15"/>
      <c r="K50" s="10" t="str">
        <f aca="false">IF(J50&lt;&gt;"",J50,IF(I50="","",I50*IFERROR(INDEX(สินค้า!$G$2:$G$101,MATCH(B50,สินค้า!$A$2:$A$101,0)),0)))</f>
        <v/>
      </c>
      <c r="L50" s="16" t="str">
        <f aca="false">IF(OR(F50="",F50=0,G50=""),"",G50/F50)</f>
        <v/>
      </c>
      <c r="M50" s="16" t="str">
        <f aca="false">IF(OR(G50="",G50=0,H50=""),"",H50/G50)</f>
        <v/>
      </c>
    </row>
    <row r="51" customFormat="false" ht="15" hidden="false" customHeight="false" outlineLevel="0" collapsed="false">
      <c r="A51" s="12"/>
      <c r="B51" s="6"/>
      <c r="C51" s="13" t="str">
        <f aca="false">IF(B51="","",IFERROR(INDEX(สินค้า!$B$2:$B$101,MATCH(B51,สินค้า!$A$2:$A$101,0)),"ไม่พบรหัส"))</f>
        <v/>
      </c>
      <c r="D51" s="14" t="str">
        <f aca="false">IF(B51="","",IFERROR(INDEX(สินค้า!$D$2:$D$101,MATCH(B51,สินค้า!$A$2:$A$101,0)),""))</f>
        <v/>
      </c>
      <c r="E51" s="6"/>
      <c r="F51" s="8"/>
      <c r="G51" s="8"/>
      <c r="H51" s="8"/>
      <c r="I51" s="15"/>
      <c r="J51" s="15"/>
      <c r="K51" s="10" t="str">
        <f aca="false">IF(J51&lt;&gt;"",J51,IF(I51="","",I51*IFERROR(INDEX(สินค้า!$G$2:$G$101,MATCH(B51,สินค้า!$A$2:$A$101,0)),0)))</f>
        <v/>
      </c>
      <c r="L51" s="16" t="str">
        <f aca="false">IF(OR(F51="",F51=0,G51=""),"",G51/F51)</f>
        <v/>
      </c>
      <c r="M51" s="16" t="str">
        <f aca="false">IF(OR(G51="",G51=0,H51=""),"",H51/G51)</f>
        <v/>
      </c>
    </row>
    <row r="52" customFormat="false" ht="15" hidden="false" customHeight="false" outlineLevel="0" collapsed="false">
      <c r="A52" s="12"/>
      <c r="B52" s="6"/>
      <c r="C52" s="13" t="str">
        <f aca="false">IF(B52="","",IFERROR(INDEX(สินค้า!$B$2:$B$101,MATCH(B52,สินค้า!$A$2:$A$101,0)),"ไม่พบรหัส"))</f>
        <v/>
      </c>
      <c r="D52" s="14" t="str">
        <f aca="false">IF(B52="","",IFERROR(INDEX(สินค้า!$D$2:$D$101,MATCH(B52,สินค้า!$A$2:$A$101,0)),""))</f>
        <v/>
      </c>
      <c r="E52" s="6"/>
      <c r="F52" s="8"/>
      <c r="G52" s="8"/>
      <c r="H52" s="8"/>
      <c r="I52" s="15"/>
      <c r="J52" s="15"/>
      <c r="K52" s="10" t="str">
        <f aca="false">IF(J52&lt;&gt;"",J52,IF(I52="","",I52*IFERROR(INDEX(สินค้า!$G$2:$G$101,MATCH(B52,สินค้า!$A$2:$A$101,0)),0)))</f>
        <v/>
      </c>
      <c r="L52" s="16" t="str">
        <f aca="false">IF(OR(F52="",F52=0,G52=""),"",G52/F52)</f>
        <v/>
      </c>
      <c r="M52" s="16" t="str">
        <f aca="false">IF(OR(G52="",G52=0,H52=""),"",H52/G52)</f>
        <v/>
      </c>
    </row>
    <row r="53" customFormat="false" ht="15" hidden="false" customHeight="false" outlineLevel="0" collapsed="false">
      <c r="A53" s="12"/>
      <c r="B53" s="6"/>
      <c r="C53" s="13" t="str">
        <f aca="false">IF(B53="","",IFERROR(INDEX(สินค้า!$B$2:$B$101,MATCH(B53,สินค้า!$A$2:$A$101,0)),"ไม่พบรหัส"))</f>
        <v/>
      </c>
      <c r="D53" s="14" t="str">
        <f aca="false">IF(B53="","",IFERROR(INDEX(สินค้า!$D$2:$D$101,MATCH(B53,สินค้า!$A$2:$A$101,0)),""))</f>
        <v/>
      </c>
      <c r="E53" s="6"/>
      <c r="F53" s="8"/>
      <c r="G53" s="8"/>
      <c r="H53" s="8"/>
      <c r="I53" s="15"/>
      <c r="J53" s="15"/>
      <c r="K53" s="10" t="str">
        <f aca="false">IF(J53&lt;&gt;"",J53,IF(I53="","",I53*IFERROR(INDEX(สินค้า!$G$2:$G$101,MATCH(B53,สินค้า!$A$2:$A$101,0)),0)))</f>
        <v/>
      </c>
      <c r="L53" s="16" t="str">
        <f aca="false">IF(OR(F53="",F53=0,G53=""),"",G53/F53)</f>
        <v/>
      </c>
      <c r="M53" s="16" t="str">
        <f aca="false">IF(OR(G53="",G53=0,H53=""),"",H53/G53)</f>
        <v/>
      </c>
    </row>
    <row r="54" customFormat="false" ht="15" hidden="false" customHeight="false" outlineLevel="0" collapsed="false">
      <c r="A54" s="12"/>
      <c r="B54" s="6"/>
      <c r="C54" s="13" t="str">
        <f aca="false">IF(B54="","",IFERROR(INDEX(สินค้า!$B$2:$B$101,MATCH(B54,สินค้า!$A$2:$A$101,0)),"ไม่พบรหัส"))</f>
        <v/>
      </c>
      <c r="D54" s="14" t="str">
        <f aca="false">IF(B54="","",IFERROR(INDEX(สินค้า!$D$2:$D$101,MATCH(B54,สินค้า!$A$2:$A$101,0)),""))</f>
        <v/>
      </c>
      <c r="E54" s="6"/>
      <c r="F54" s="8"/>
      <c r="G54" s="8"/>
      <c r="H54" s="8"/>
      <c r="I54" s="15"/>
      <c r="J54" s="15"/>
      <c r="K54" s="10" t="str">
        <f aca="false">IF(J54&lt;&gt;"",J54,IF(I54="","",I54*IFERROR(INDEX(สินค้า!$G$2:$G$101,MATCH(B54,สินค้า!$A$2:$A$101,0)),0)))</f>
        <v/>
      </c>
      <c r="L54" s="16" t="str">
        <f aca="false">IF(OR(F54="",F54=0,G54=""),"",G54/F54)</f>
        <v/>
      </c>
      <c r="M54" s="16" t="str">
        <f aca="false">IF(OR(G54="",G54=0,H54=""),"",H54/G54)</f>
        <v/>
      </c>
    </row>
    <row r="55" customFormat="false" ht="15" hidden="false" customHeight="false" outlineLevel="0" collapsed="false">
      <c r="A55" s="12"/>
      <c r="B55" s="6"/>
      <c r="C55" s="13" t="str">
        <f aca="false">IF(B55="","",IFERROR(INDEX(สินค้า!$B$2:$B$101,MATCH(B55,สินค้า!$A$2:$A$101,0)),"ไม่พบรหัส"))</f>
        <v/>
      </c>
      <c r="D55" s="14" t="str">
        <f aca="false">IF(B55="","",IFERROR(INDEX(สินค้า!$D$2:$D$101,MATCH(B55,สินค้า!$A$2:$A$101,0)),""))</f>
        <v/>
      </c>
      <c r="E55" s="6"/>
      <c r="F55" s="8"/>
      <c r="G55" s="8"/>
      <c r="H55" s="8"/>
      <c r="I55" s="15"/>
      <c r="J55" s="15"/>
      <c r="K55" s="10" t="str">
        <f aca="false">IF(J55&lt;&gt;"",J55,IF(I55="","",I55*IFERROR(INDEX(สินค้า!$G$2:$G$101,MATCH(B55,สินค้า!$A$2:$A$101,0)),0)))</f>
        <v/>
      </c>
      <c r="L55" s="16" t="str">
        <f aca="false">IF(OR(F55="",F55=0,G55=""),"",G55/F55)</f>
        <v/>
      </c>
      <c r="M55" s="16" t="str">
        <f aca="false">IF(OR(G55="",G55=0,H55=""),"",H55/G55)</f>
        <v/>
      </c>
    </row>
    <row r="56" customFormat="false" ht="15" hidden="false" customHeight="false" outlineLevel="0" collapsed="false">
      <c r="A56" s="12"/>
      <c r="B56" s="6"/>
      <c r="C56" s="13" t="str">
        <f aca="false">IF(B56="","",IFERROR(INDEX(สินค้า!$B$2:$B$101,MATCH(B56,สินค้า!$A$2:$A$101,0)),"ไม่พบรหัส"))</f>
        <v/>
      </c>
      <c r="D56" s="14" t="str">
        <f aca="false">IF(B56="","",IFERROR(INDEX(สินค้า!$D$2:$D$101,MATCH(B56,สินค้า!$A$2:$A$101,0)),""))</f>
        <v/>
      </c>
      <c r="E56" s="6"/>
      <c r="F56" s="8"/>
      <c r="G56" s="8"/>
      <c r="H56" s="8"/>
      <c r="I56" s="15"/>
      <c r="J56" s="15"/>
      <c r="K56" s="10" t="str">
        <f aca="false">IF(J56&lt;&gt;"",J56,IF(I56="","",I56*IFERROR(INDEX(สินค้า!$G$2:$G$101,MATCH(B56,สินค้า!$A$2:$A$101,0)),0)))</f>
        <v/>
      </c>
      <c r="L56" s="16" t="str">
        <f aca="false">IF(OR(F56="",F56=0,G56=""),"",G56/F56)</f>
        <v/>
      </c>
      <c r="M56" s="16" t="str">
        <f aca="false">IF(OR(G56="",G56=0,H56=""),"",H56/G56)</f>
        <v/>
      </c>
    </row>
    <row r="57" customFormat="false" ht="15" hidden="false" customHeight="false" outlineLevel="0" collapsed="false">
      <c r="A57" s="12"/>
      <c r="B57" s="6"/>
      <c r="C57" s="13" t="str">
        <f aca="false">IF(B57="","",IFERROR(INDEX(สินค้า!$B$2:$B$101,MATCH(B57,สินค้า!$A$2:$A$101,0)),"ไม่พบรหัส"))</f>
        <v/>
      </c>
      <c r="D57" s="14" t="str">
        <f aca="false">IF(B57="","",IFERROR(INDEX(สินค้า!$D$2:$D$101,MATCH(B57,สินค้า!$A$2:$A$101,0)),""))</f>
        <v/>
      </c>
      <c r="E57" s="6"/>
      <c r="F57" s="8"/>
      <c r="G57" s="8"/>
      <c r="H57" s="8"/>
      <c r="I57" s="15"/>
      <c r="J57" s="15"/>
      <c r="K57" s="10" t="str">
        <f aca="false">IF(J57&lt;&gt;"",J57,IF(I57="","",I57*IFERROR(INDEX(สินค้า!$G$2:$G$101,MATCH(B57,สินค้า!$A$2:$A$101,0)),0)))</f>
        <v/>
      </c>
      <c r="L57" s="16" t="str">
        <f aca="false">IF(OR(F57="",F57=0,G57=""),"",G57/F57)</f>
        <v/>
      </c>
      <c r="M57" s="16" t="str">
        <f aca="false">IF(OR(G57="",G57=0,H57=""),"",H57/G57)</f>
        <v/>
      </c>
    </row>
    <row r="58" customFormat="false" ht="15" hidden="false" customHeight="false" outlineLevel="0" collapsed="false">
      <c r="A58" s="12"/>
      <c r="B58" s="6"/>
      <c r="C58" s="13" t="str">
        <f aca="false">IF(B58="","",IFERROR(INDEX(สินค้า!$B$2:$B$101,MATCH(B58,สินค้า!$A$2:$A$101,0)),"ไม่พบรหัส"))</f>
        <v/>
      </c>
      <c r="D58" s="14" t="str">
        <f aca="false">IF(B58="","",IFERROR(INDEX(สินค้า!$D$2:$D$101,MATCH(B58,สินค้า!$A$2:$A$101,0)),""))</f>
        <v/>
      </c>
      <c r="E58" s="6"/>
      <c r="F58" s="8"/>
      <c r="G58" s="8"/>
      <c r="H58" s="8"/>
      <c r="I58" s="15"/>
      <c r="J58" s="15"/>
      <c r="K58" s="10" t="str">
        <f aca="false">IF(J58&lt;&gt;"",J58,IF(I58="","",I58*IFERROR(INDEX(สินค้า!$G$2:$G$101,MATCH(B58,สินค้า!$A$2:$A$101,0)),0)))</f>
        <v/>
      </c>
      <c r="L58" s="16" t="str">
        <f aca="false">IF(OR(F58="",F58=0,G58=""),"",G58/F58)</f>
        <v/>
      </c>
      <c r="M58" s="16" t="str">
        <f aca="false">IF(OR(G58="",G58=0,H58=""),"",H58/G58)</f>
        <v/>
      </c>
    </row>
    <row r="59" customFormat="false" ht="15" hidden="false" customHeight="false" outlineLevel="0" collapsed="false">
      <c r="A59" s="12"/>
      <c r="B59" s="6"/>
      <c r="C59" s="13" t="str">
        <f aca="false">IF(B59="","",IFERROR(INDEX(สินค้า!$B$2:$B$101,MATCH(B59,สินค้า!$A$2:$A$101,0)),"ไม่พบรหัส"))</f>
        <v/>
      </c>
      <c r="D59" s="14" t="str">
        <f aca="false">IF(B59="","",IFERROR(INDEX(สินค้า!$D$2:$D$101,MATCH(B59,สินค้า!$A$2:$A$101,0)),""))</f>
        <v/>
      </c>
      <c r="E59" s="6"/>
      <c r="F59" s="8"/>
      <c r="G59" s="8"/>
      <c r="H59" s="8"/>
      <c r="I59" s="15"/>
      <c r="J59" s="15"/>
      <c r="K59" s="10" t="str">
        <f aca="false">IF(J59&lt;&gt;"",J59,IF(I59="","",I59*IFERROR(INDEX(สินค้า!$G$2:$G$101,MATCH(B59,สินค้า!$A$2:$A$101,0)),0)))</f>
        <v/>
      </c>
      <c r="L59" s="16" t="str">
        <f aca="false">IF(OR(F59="",F59=0,G59=""),"",G59/F59)</f>
        <v/>
      </c>
      <c r="M59" s="16" t="str">
        <f aca="false">IF(OR(G59="",G59=0,H59=""),"",H59/G59)</f>
        <v/>
      </c>
    </row>
    <row r="60" customFormat="false" ht="15" hidden="false" customHeight="false" outlineLevel="0" collapsed="false">
      <c r="A60" s="12"/>
      <c r="B60" s="6"/>
      <c r="C60" s="13" t="str">
        <f aca="false">IF(B60="","",IFERROR(INDEX(สินค้า!$B$2:$B$101,MATCH(B60,สินค้า!$A$2:$A$101,0)),"ไม่พบรหัส"))</f>
        <v/>
      </c>
      <c r="D60" s="14" t="str">
        <f aca="false">IF(B60="","",IFERROR(INDEX(สินค้า!$D$2:$D$101,MATCH(B60,สินค้า!$A$2:$A$101,0)),""))</f>
        <v/>
      </c>
      <c r="E60" s="6"/>
      <c r="F60" s="8"/>
      <c r="G60" s="8"/>
      <c r="H60" s="8"/>
      <c r="I60" s="15"/>
      <c r="J60" s="15"/>
      <c r="K60" s="10" t="str">
        <f aca="false">IF(J60&lt;&gt;"",J60,IF(I60="","",I60*IFERROR(INDEX(สินค้า!$G$2:$G$101,MATCH(B60,สินค้า!$A$2:$A$101,0)),0)))</f>
        <v/>
      </c>
      <c r="L60" s="16" t="str">
        <f aca="false">IF(OR(F60="",F60=0,G60=""),"",G60/F60)</f>
        <v/>
      </c>
      <c r="M60" s="16" t="str">
        <f aca="false">IF(OR(G60="",G60=0,H60=""),"",H60/G60)</f>
        <v/>
      </c>
    </row>
    <row r="61" customFormat="false" ht="15" hidden="false" customHeight="false" outlineLevel="0" collapsed="false">
      <c r="A61" s="12"/>
      <c r="B61" s="6"/>
      <c r="C61" s="13" t="str">
        <f aca="false">IF(B61="","",IFERROR(INDEX(สินค้า!$B$2:$B$101,MATCH(B61,สินค้า!$A$2:$A$101,0)),"ไม่พบรหัส"))</f>
        <v/>
      </c>
      <c r="D61" s="14" t="str">
        <f aca="false">IF(B61="","",IFERROR(INDEX(สินค้า!$D$2:$D$101,MATCH(B61,สินค้า!$A$2:$A$101,0)),""))</f>
        <v/>
      </c>
      <c r="E61" s="6"/>
      <c r="F61" s="8"/>
      <c r="G61" s="8"/>
      <c r="H61" s="8"/>
      <c r="I61" s="15"/>
      <c r="J61" s="15"/>
      <c r="K61" s="10" t="str">
        <f aca="false">IF(J61&lt;&gt;"",J61,IF(I61="","",I61*IFERROR(INDEX(สินค้า!$G$2:$G$101,MATCH(B61,สินค้า!$A$2:$A$101,0)),0)))</f>
        <v/>
      </c>
      <c r="L61" s="16" t="str">
        <f aca="false">IF(OR(F61="",F61=0,G61=""),"",G61/F61)</f>
        <v/>
      </c>
      <c r="M61" s="16" t="str">
        <f aca="false">IF(OR(G61="",G61=0,H61=""),"",H61/G61)</f>
        <v/>
      </c>
    </row>
    <row r="62" customFormat="false" ht="15" hidden="false" customHeight="false" outlineLevel="0" collapsed="false">
      <c r="A62" s="12"/>
      <c r="B62" s="6"/>
      <c r="C62" s="13" t="str">
        <f aca="false">IF(B62="","",IFERROR(INDEX(สินค้า!$B$2:$B$101,MATCH(B62,สินค้า!$A$2:$A$101,0)),"ไม่พบรหัส"))</f>
        <v/>
      </c>
      <c r="D62" s="14" t="str">
        <f aca="false">IF(B62="","",IFERROR(INDEX(สินค้า!$D$2:$D$101,MATCH(B62,สินค้า!$A$2:$A$101,0)),""))</f>
        <v/>
      </c>
      <c r="E62" s="6"/>
      <c r="F62" s="8"/>
      <c r="G62" s="8"/>
      <c r="H62" s="8"/>
      <c r="I62" s="15"/>
      <c r="J62" s="15"/>
      <c r="K62" s="10" t="str">
        <f aca="false">IF(J62&lt;&gt;"",J62,IF(I62="","",I62*IFERROR(INDEX(สินค้า!$G$2:$G$101,MATCH(B62,สินค้า!$A$2:$A$101,0)),0)))</f>
        <v/>
      </c>
      <c r="L62" s="16" t="str">
        <f aca="false">IF(OR(F62="",F62=0,G62=""),"",G62/F62)</f>
        <v/>
      </c>
      <c r="M62" s="16" t="str">
        <f aca="false">IF(OR(G62="",G62=0,H62=""),"",H62/G62)</f>
        <v/>
      </c>
    </row>
    <row r="63" customFormat="false" ht="15" hidden="false" customHeight="false" outlineLevel="0" collapsed="false">
      <c r="A63" s="12"/>
      <c r="B63" s="6"/>
      <c r="C63" s="13" t="str">
        <f aca="false">IF(B63="","",IFERROR(INDEX(สินค้า!$B$2:$B$101,MATCH(B63,สินค้า!$A$2:$A$101,0)),"ไม่พบรหัส"))</f>
        <v/>
      </c>
      <c r="D63" s="14" t="str">
        <f aca="false">IF(B63="","",IFERROR(INDEX(สินค้า!$D$2:$D$101,MATCH(B63,สินค้า!$A$2:$A$101,0)),""))</f>
        <v/>
      </c>
      <c r="E63" s="6"/>
      <c r="F63" s="8"/>
      <c r="G63" s="8"/>
      <c r="H63" s="8"/>
      <c r="I63" s="15"/>
      <c r="J63" s="15"/>
      <c r="K63" s="10" t="str">
        <f aca="false">IF(J63&lt;&gt;"",J63,IF(I63="","",I63*IFERROR(INDEX(สินค้า!$G$2:$G$101,MATCH(B63,สินค้า!$A$2:$A$101,0)),0)))</f>
        <v/>
      </c>
      <c r="L63" s="16" t="str">
        <f aca="false">IF(OR(F63="",F63=0,G63=""),"",G63/F63)</f>
        <v/>
      </c>
      <c r="M63" s="16" t="str">
        <f aca="false">IF(OR(G63="",G63=0,H63=""),"",H63/G63)</f>
        <v/>
      </c>
    </row>
    <row r="64" customFormat="false" ht="15" hidden="false" customHeight="false" outlineLevel="0" collapsed="false">
      <c r="A64" s="12"/>
      <c r="B64" s="6"/>
      <c r="C64" s="13" t="str">
        <f aca="false">IF(B64="","",IFERROR(INDEX(สินค้า!$B$2:$B$101,MATCH(B64,สินค้า!$A$2:$A$101,0)),"ไม่พบรหัส"))</f>
        <v/>
      </c>
      <c r="D64" s="14" t="str">
        <f aca="false">IF(B64="","",IFERROR(INDEX(สินค้า!$D$2:$D$101,MATCH(B64,สินค้า!$A$2:$A$101,0)),""))</f>
        <v/>
      </c>
      <c r="E64" s="6"/>
      <c r="F64" s="8"/>
      <c r="G64" s="8"/>
      <c r="H64" s="8"/>
      <c r="I64" s="15"/>
      <c r="J64" s="15"/>
      <c r="K64" s="10" t="str">
        <f aca="false">IF(J64&lt;&gt;"",J64,IF(I64="","",I64*IFERROR(INDEX(สินค้า!$G$2:$G$101,MATCH(B64,สินค้า!$A$2:$A$101,0)),0)))</f>
        <v/>
      </c>
      <c r="L64" s="16" t="str">
        <f aca="false">IF(OR(F64="",F64=0,G64=""),"",G64/F64)</f>
        <v/>
      </c>
      <c r="M64" s="16" t="str">
        <f aca="false">IF(OR(G64="",G64=0,H64=""),"",H64/G64)</f>
        <v/>
      </c>
    </row>
    <row r="65" customFormat="false" ht="15" hidden="false" customHeight="false" outlineLevel="0" collapsed="false">
      <c r="A65" s="12"/>
      <c r="B65" s="6"/>
      <c r="C65" s="13" t="str">
        <f aca="false">IF(B65="","",IFERROR(INDEX(สินค้า!$B$2:$B$101,MATCH(B65,สินค้า!$A$2:$A$101,0)),"ไม่พบรหัส"))</f>
        <v/>
      </c>
      <c r="D65" s="14" t="str">
        <f aca="false">IF(B65="","",IFERROR(INDEX(สินค้า!$D$2:$D$101,MATCH(B65,สินค้า!$A$2:$A$101,0)),""))</f>
        <v/>
      </c>
      <c r="E65" s="6"/>
      <c r="F65" s="8"/>
      <c r="G65" s="8"/>
      <c r="H65" s="8"/>
      <c r="I65" s="15"/>
      <c r="J65" s="15"/>
      <c r="K65" s="10" t="str">
        <f aca="false">IF(J65&lt;&gt;"",J65,IF(I65="","",I65*IFERROR(INDEX(สินค้า!$G$2:$G$101,MATCH(B65,สินค้า!$A$2:$A$101,0)),0)))</f>
        <v/>
      </c>
      <c r="L65" s="16" t="str">
        <f aca="false">IF(OR(F65="",F65=0,G65=""),"",G65/F65)</f>
        <v/>
      </c>
      <c r="M65" s="16" t="str">
        <f aca="false">IF(OR(G65="",G65=0,H65=""),"",H65/G65)</f>
        <v/>
      </c>
    </row>
    <row r="66" customFormat="false" ht="15" hidden="false" customHeight="false" outlineLevel="0" collapsed="false">
      <c r="A66" s="12"/>
      <c r="B66" s="6"/>
      <c r="C66" s="13" t="str">
        <f aca="false">IF(B66="","",IFERROR(INDEX(สินค้า!$B$2:$B$101,MATCH(B66,สินค้า!$A$2:$A$101,0)),"ไม่พบรหัส"))</f>
        <v/>
      </c>
      <c r="D66" s="14" t="str">
        <f aca="false">IF(B66="","",IFERROR(INDEX(สินค้า!$D$2:$D$101,MATCH(B66,สินค้า!$A$2:$A$101,0)),""))</f>
        <v/>
      </c>
      <c r="E66" s="6"/>
      <c r="F66" s="8"/>
      <c r="G66" s="8"/>
      <c r="H66" s="8"/>
      <c r="I66" s="15"/>
      <c r="J66" s="15"/>
      <c r="K66" s="10" t="str">
        <f aca="false">IF(J66&lt;&gt;"",J66,IF(I66="","",I66*IFERROR(INDEX(สินค้า!$G$2:$G$101,MATCH(B66,สินค้า!$A$2:$A$101,0)),0)))</f>
        <v/>
      </c>
      <c r="L66" s="16" t="str">
        <f aca="false">IF(OR(F66="",F66=0,G66=""),"",G66/F66)</f>
        <v/>
      </c>
      <c r="M66" s="16" t="str">
        <f aca="false">IF(OR(G66="",G66=0,H66=""),"",H66/G66)</f>
        <v/>
      </c>
    </row>
    <row r="67" customFormat="false" ht="15" hidden="false" customHeight="false" outlineLevel="0" collapsed="false">
      <c r="A67" s="12"/>
      <c r="B67" s="6"/>
      <c r="C67" s="13" t="str">
        <f aca="false">IF(B67="","",IFERROR(INDEX(สินค้า!$B$2:$B$101,MATCH(B67,สินค้า!$A$2:$A$101,0)),"ไม่พบรหัส"))</f>
        <v/>
      </c>
      <c r="D67" s="14" t="str">
        <f aca="false">IF(B67="","",IFERROR(INDEX(สินค้า!$D$2:$D$101,MATCH(B67,สินค้า!$A$2:$A$101,0)),""))</f>
        <v/>
      </c>
      <c r="E67" s="6"/>
      <c r="F67" s="8"/>
      <c r="G67" s="8"/>
      <c r="H67" s="8"/>
      <c r="I67" s="15"/>
      <c r="J67" s="15"/>
      <c r="K67" s="10" t="str">
        <f aca="false">IF(J67&lt;&gt;"",J67,IF(I67="","",I67*IFERROR(INDEX(สินค้า!$G$2:$G$101,MATCH(B67,สินค้า!$A$2:$A$101,0)),0)))</f>
        <v/>
      </c>
      <c r="L67" s="16" t="str">
        <f aca="false">IF(OR(F67="",F67=0,G67=""),"",G67/F67)</f>
        <v/>
      </c>
      <c r="M67" s="16" t="str">
        <f aca="false">IF(OR(G67="",G67=0,H67=""),"",H67/G67)</f>
        <v/>
      </c>
    </row>
    <row r="68" customFormat="false" ht="15" hidden="false" customHeight="false" outlineLevel="0" collapsed="false">
      <c r="A68" s="12"/>
      <c r="B68" s="6"/>
      <c r="C68" s="13" t="str">
        <f aca="false">IF(B68="","",IFERROR(INDEX(สินค้า!$B$2:$B$101,MATCH(B68,สินค้า!$A$2:$A$101,0)),"ไม่พบรหัส"))</f>
        <v/>
      </c>
      <c r="D68" s="14" t="str">
        <f aca="false">IF(B68="","",IFERROR(INDEX(สินค้า!$D$2:$D$101,MATCH(B68,สินค้า!$A$2:$A$101,0)),""))</f>
        <v/>
      </c>
      <c r="E68" s="6"/>
      <c r="F68" s="8"/>
      <c r="G68" s="8"/>
      <c r="H68" s="8"/>
      <c r="I68" s="15"/>
      <c r="J68" s="15"/>
      <c r="K68" s="10" t="str">
        <f aca="false">IF(J68&lt;&gt;"",J68,IF(I68="","",I68*IFERROR(INDEX(สินค้า!$G$2:$G$101,MATCH(B68,สินค้า!$A$2:$A$101,0)),0)))</f>
        <v/>
      </c>
      <c r="L68" s="16" t="str">
        <f aca="false">IF(OR(F68="",F68=0,G68=""),"",G68/F68)</f>
        <v/>
      </c>
      <c r="M68" s="16" t="str">
        <f aca="false">IF(OR(G68="",G68=0,H68=""),"",H68/G68)</f>
        <v/>
      </c>
    </row>
    <row r="69" customFormat="false" ht="15" hidden="false" customHeight="false" outlineLevel="0" collapsed="false">
      <c r="A69" s="12"/>
      <c r="B69" s="6"/>
      <c r="C69" s="13" t="str">
        <f aca="false">IF(B69="","",IFERROR(INDEX(สินค้า!$B$2:$B$101,MATCH(B69,สินค้า!$A$2:$A$101,0)),"ไม่พบรหัส"))</f>
        <v/>
      </c>
      <c r="D69" s="14" t="str">
        <f aca="false">IF(B69="","",IFERROR(INDEX(สินค้า!$D$2:$D$101,MATCH(B69,สินค้า!$A$2:$A$101,0)),""))</f>
        <v/>
      </c>
      <c r="E69" s="6"/>
      <c r="F69" s="8"/>
      <c r="G69" s="8"/>
      <c r="H69" s="8"/>
      <c r="I69" s="15"/>
      <c r="J69" s="15"/>
      <c r="K69" s="10" t="str">
        <f aca="false">IF(J69&lt;&gt;"",J69,IF(I69="","",I69*IFERROR(INDEX(สินค้า!$G$2:$G$101,MATCH(B69,สินค้า!$A$2:$A$101,0)),0)))</f>
        <v/>
      </c>
      <c r="L69" s="16" t="str">
        <f aca="false">IF(OR(F69="",F69=0,G69=""),"",G69/F69)</f>
        <v/>
      </c>
      <c r="M69" s="16" t="str">
        <f aca="false">IF(OR(G69="",G69=0,H69=""),"",H69/G69)</f>
        <v/>
      </c>
    </row>
    <row r="70" customFormat="false" ht="15" hidden="false" customHeight="false" outlineLevel="0" collapsed="false">
      <c r="A70" s="12"/>
      <c r="B70" s="6"/>
      <c r="C70" s="13" t="str">
        <f aca="false">IF(B70="","",IFERROR(INDEX(สินค้า!$B$2:$B$101,MATCH(B70,สินค้า!$A$2:$A$101,0)),"ไม่พบรหัส"))</f>
        <v/>
      </c>
      <c r="D70" s="14" t="str">
        <f aca="false">IF(B70="","",IFERROR(INDEX(สินค้า!$D$2:$D$101,MATCH(B70,สินค้า!$A$2:$A$101,0)),""))</f>
        <v/>
      </c>
      <c r="E70" s="6"/>
      <c r="F70" s="8"/>
      <c r="G70" s="8"/>
      <c r="H70" s="8"/>
      <c r="I70" s="15"/>
      <c r="J70" s="15"/>
      <c r="K70" s="10" t="str">
        <f aca="false">IF(J70&lt;&gt;"",J70,IF(I70="","",I70*IFERROR(INDEX(สินค้า!$G$2:$G$101,MATCH(B70,สินค้า!$A$2:$A$101,0)),0)))</f>
        <v/>
      </c>
      <c r="L70" s="16" t="str">
        <f aca="false">IF(OR(F70="",F70=0,G70=""),"",G70/F70)</f>
        <v/>
      </c>
      <c r="M70" s="16" t="str">
        <f aca="false">IF(OR(G70="",G70=0,H70=""),"",H70/G70)</f>
        <v/>
      </c>
    </row>
    <row r="71" customFormat="false" ht="15" hidden="false" customHeight="false" outlineLevel="0" collapsed="false">
      <c r="A71" s="12"/>
      <c r="B71" s="6"/>
      <c r="C71" s="13" t="str">
        <f aca="false">IF(B71="","",IFERROR(INDEX(สินค้า!$B$2:$B$101,MATCH(B71,สินค้า!$A$2:$A$101,0)),"ไม่พบรหัส"))</f>
        <v/>
      </c>
      <c r="D71" s="14" t="str">
        <f aca="false">IF(B71="","",IFERROR(INDEX(สินค้า!$D$2:$D$101,MATCH(B71,สินค้า!$A$2:$A$101,0)),""))</f>
        <v/>
      </c>
      <c r="E71" s="6"/>
      <c r="F71" s="8"/>
      <c r="G71" s="8"/>
      <c r="H71" s="8"/>
      <c r="I71" s="15"/>
      <c r="J71" s="15"/>
      <c r="K71" s="10" t="str">
        <f aca="false">IF(J71&lt;&gt;"",J71,IF(I71="","",I71*IFERROR(INDEX(สินค้า!$G$2:$G$101,MATCH(B71,สินค้า!$A$2:$A$101,0)),0)))</f>
        <v/>
      </c>
      <c r="L71" s="16" t="str">
        <f aca="false">IF(OR(F71="",F71=0,G71=""),"",G71/F71)</f>
        <v/>
      </c>
      <c r="M71" s="16" t="str">
        <f aca="false">IF(OR(G71="",G71=0,H71=""),"",H71/G71)</f>
        <v/>
      </c>
    </row>
    <row r="72" customFormat="false" ht="15" hidden="false" customHeight="false" outlineLevel="0" collapsed="false">
      <c r="A72" s="12"/>
      <c r="B72" s="6"/>
      <c r="C72" s="13" t="str">
        <f aca="false">IF(B72="","",IFERROR(INDEX(สินค้า!$B$2:$B$101,MATCH(B72,สินค้า!$A$2:$A$101,0)),"ไม่พบรหัส"))</f>
        <v/>
      </c>
      <c r="D72" s="14" t="str">
        <f aca="false">IF(B72="","",IFERROR(INDEX(สินค้า!$D$2:$D$101,MATCH(B72,สินค้า!$A$2:$A$101,0)),""))</f>
        <v/>
      </c>
      <c r="E72" s="6"/>
      <c r="F72" s="8"/>
      <c r="G72" s="8"/>
      <c r="H72" s="8"/>
      <c r="I72" s="15"/>
      <c r="J72" s="15"/>
      <c r="K72" s="10" t="str">
        <f aca="false">IF(J72&lt;&gt;"",J72,IF(I72="","",I72*IFERROR(INDEX(สินค้า!$G$2:$G$101,MATCH(B72,สินค้า!$A$2:$A$101,0)),0)))</f>
        <v/>
      </c>
      <c r="L72" s="16" t="str">
        <f aca="false">IF(OR(F72="",F72=0,G72=""),"",G72/F72)</f>
        <v/>
      </c>
      <c r="M72" s="16" t="str">
        <f aca="false">IF(OR(G72="",G72=0,H72=""),"",H72/G72)</f>
        <v/>
      </c>
    </row>
    <row r="73" customFormat="false" ht="15" hidden="false" customHeight="false" outlineLevel="0" collapsed="false">
      <c r="A73" s="12"/>
      <c r="B73" s="6"/>
      <c r="C73" s="13" t="str">
        <f aca="false">IF(B73="","",IFERROR(INDEX(สินค้า!$B$2:$B$101,MATCH(B73,สินค้า!$A$2:$A$101,0)),"ไม่พบรหัส"))</f>
        <v/>
      </c>
      <c r="D73" s="14" t="str">
        <f aca="false">IF(B73="","",IFERROR(INDEX(สินค้า!$D$2:$D$101,MATCH(B73,สินค้า!$A$2:$A$101,0)),""))</f>
        <v/>
      </c>
      <c r="E73" s="6"/>
      <c r="F73" s="8"/>
      <c r="G73" s="8"/>
      <c r="H73" s="8"/>
      <c r="I73" s="15"/>
      <c r="J73" s="15"/>
      <c r="K73" s="10" t="str">
        <f aca="false">IF(J73&lt;&gt;"",J73,IF(I73="","",I73*IFERROR(INDEX(สินค้า!$G$2:$G$101,MATCH(B73,สินค้า!$A$2:$A$101,0)),0)))</f>
        <v/>
      </c>
      <c r="L73" s="16" t="str">
        <f aca="false">IF(OR(F73="",F73=0,G73=""),"",G73/F73)</f>
        <v/>
      </c>
      <c r="M73" s="16" t="str">
        <f aca="false">IF(OR(G73="",G73=0,H73=""),"",H73/G73)</f>
        <v/>
      </c>
    </row>
    <row r="74" customFormat="false" ht="15" hidden="false" customHeight="false" outlineLevel="0" collapsed="false">
      <c r="A74" s="12"/>
      <c r="B74" s="6"/>
      <c r="C74" s="13" t="str">
        <f aca="false">IF(B74="","",IFERROR(INDEX(สินค้า!$B$2:$B$101,MATCH(B74,สินค้า!$A$2:$A$101,0)),"ไม่พบรหัส"))</f>
        <v/>
      </c>
      <c r="D74" s="14" t="str">
        <f aca="false">IF(B74="","",IFERROR(INDEX(สินค้า!$D$2:$D$101,MATCH(B74,สินค้า!$A$2:$A$101,0)),""))</f>
        <v/>
      </c>
      <c r="E74" s="6"/>
      <c r="F74" s="8"/>
      <c r="G74" s="8"/>
      <c r="H74" s="8"/>
      <c r="I74" s="15"/>
      <c r="J74" s="15"/>
      <c r="K74" s="10" t="str">
        <f aca="false">IF(J74&lt;&gt;"",J74,IF(I74="","",I74*IFERROR(INDEX(สินค้า!$G$2:$G$101,MATCH(B74,สินค้า!$A$2:$A$101,0)),0)))</f>
        <v/>
      </c>
      <c r="L74" s="16" t="str">
        <f aca="false">IF(OR(F74="",F74=0,G74=""),"",G74/F74)</f>
        <v/>
      </c>
      <c r="M74" s="16" t="str">
        <f aca="false">IF(OR(G74="",G74=0,H74=""),"",H74/G74)</f>
        <v/>
      </c>
    </row>
    <row r="75" customFormat="false" ht="15" hidden="false" customHeight="false" outlineLevel="0" collapsed="false">
      <c r="A75" s="12"/>
      <c r="B75" s="6"/>
      <c r="C75" s="13" t="str">
        <f aca="false">IF(B75="","",IFERROR(INDEX(สินค้า!$B$2:$B$101,MATCH(B75,สินค้า!$A$2:$A$101,0)),"ไม่พบรหัส"))</f>
        <v/>
      </c>
      <c r="D75" s="14" t="str">
        <f aca="false">IF(B75="","",IFERROR(INDEX(สินค้า!$D$2:$D$101,MATCH(B75,สินค้า!$A$2:$A$101,0)),""))</f>
        <v/>
      </c>
      <c r="E75" s="6"/>
      <c r="F75" s="8"/>
      <c r="G75" s="8"/>
      <c r="H75" s="8"/>
      <c r="I75" s="15"/>
      <c r="J75" s="15"/>
      <c r="K75" s="10" t="str">
        <f aca="false">IF(J75&lt;&gt;"",J75,IF(I75="","",I75*IFERROR(INDEX(สินค้า!$G$2:$G$101,MATCH(B75,สินค้า!$A$2:$A$101,0)),0)))</f>
        <v/>
      </c>
      <c r="L75" s="16" t="str">
        <f aca="false">IF(OR(F75="",F75=0,G75=""),"",G75/F75)</f>
        <v/>
      </c>
      <c r="M75" s="16" t="str">
        <f aca="false">IF(OR(G75="",G75=0,H75=""),"",H75/G75)</f>
        <v/>
      </c>
    </row>
    <row r="76" customFormat="false" ht="15" hidden="false" customHeight="false" outlineLevel="0" collapsed="false">
      <c r="A76" s="12"/>
      <c r="B76" s="6"/>
      <c r="C76" s="13" t="str">
        <f aca="false">IF(B76="","",IFERROR(INDEX(สินค้า!$B$2:$B$101,MATCH(B76,สินค้า!$A$2:$A$101,0)),"ไม่พบรหัส"))</f>
        <v/>
      </c>
      <c r="D76" s="14" t="str">
        <f aca="false">IF(B76="","",IFERROR(INDEX(สินค้า!$D$2:$D$101,MATCH(B76,สินค้า!$A$2:$A$101,0)),""))</f>
        <v/>
      </c>
      <c r="E76" s="6"/>
      <c r="F76" s="8"/>
      <c r="G76" s="8"/>
      <c r="H76" s="8"/>
      <c r="I76" s="15"/>
      <c r="J76" s="15"/>
      <c r="K76" s="10" t="str">
        <f aca="false">IF(J76&lt;&gt;"",J76,IF(I76="","",I76*IFERROR(INDEX(สินค้า!$G$2:$G$101,MATCH(B76,สินค้า!$A$2:$A$101,0)),0)))</f>
        <v/>
      </c>
      <c r="L76" s="16" t="str">
        <f aca="false">IF(OR(F76="",F76=0,G76=""),"",G76/F76)</f>
        <v/>
      </c>
      <c r="M76" s="16" t="str">
        <f aca="false">IF(OR(G76="",G76=0,H76=""),"",H76/G76)</f>
        <v/>
      </c>
    </row>
    <row r="77" customFormat="false" ht="15" hidden="false" customHeight="false" outlineLevel="0" collapsed="false">
      <c r="A77" s="12"/>
      <c r="B77" s="6"/>
      <c r="C77" s="13" t="str">
        <f aca="false">IF(B77="","",IFERROR(INDEX(สินค้า!$B$2:$B$101,MATCH(B77,สินค้า!$A$2:$A$101,0)),"ไม่พบรหัส"))</f>
        <v/>
      </c>
      <c r="D77" s="14" t="str">
        <f aca="false">IF(B77="","",IFERROR(INDEX(สินค้า!$D$2:$D$101,MATCH(B77,สินค้า!$A$2:$A$101,0)),""))</f>
        <v/>
      </c>
      <c r="E77" s="6"/>
      <c r="F77" s="8"/>
      <c r="G77" s="8"/>
      <c r="H77" s="8"/>
      <c r="I77" s="15"/>
      <c r="J77" s="15"/>
      <c r="K77" s="10" t="str">
        <f aca="false">IF(J77&lt;&gt;"",J77,IF(I77="","",I77*IFERROR(INDEX(สินค้า!$G$2:$G$101,MATCH(B77,สินค้า!$A$2:$A$101,0)),0)))</f>
        <v/>
      </c>
      <c r="L77" s="16" t="str">
        <f aca="false">IF(OR(F77="",F77=0,G77=""),"",G77/F77)</f>
        <v/>
      </c>
      <c r="M77" s="16" t="str">
        <f aca="false">IF(OR(G77="",G77=0,H77=""),"",H77/G77)</f>
        <v/>
      </c>
    </row>
    <row r="78" customFormat="false" ht="15" hidden="false" customHeight="false" outlineLevel="0" collapsed="false">
      <c r="A78" s="12"/>
      <c r="B78" s="6"/>
      <c r="C78" s="13" t="str">
        <f aca="false">IF(B78="","",IFERROR(INDEX(สินค้า!$B$2:$B$101,MATCH(B78,สินค้า!$A$2:$A$101,0)),"ไม่พบรหัส"))</f>
        <v/>
      </c>
      <c r="D78" s="14" t="str">
        <f aca="false">IF(B78="","",IFERROR(INDEX(สินค้า!$D$2:$D$101,MATCH(B78,สินค้า!$A$2:$A$101,0)),""))</f>
        <v/>
      </c>
      <c r="E78" s="6"/>
      <c r="F78" s="8"/>
      <c r="G78" s="8"/>
      <c r="H78" s="8"/>
      <c r="I78" s="15"/>
      <c r="J78" s="15"/>
      <c r="K78" s="10" t="str">
        <f aca="false">IF(J78&lt;&gt;"",J78,IF(I78="","",I78*IFERROR(INDEX(สินค้า!$G$2:$G$101,MATCH(B78,สินค้า!$A$2:$A$101,0)),0)))</f>
        <v/>
      </c>
      <c r="L78" s="16" t="str">
        <f aca="false">IF(OR(F78="",F78=0,G78=""),"",G78/F78)</f>
        <v/>
      </c>
      <c r="M78" s="16" t="str">
        <f aca="false">IF(OR(G78="",G78=0,H78=""),"",H78/G78)</f>
        <v/>
      </c>
    </row>
    <row r="79" customFormat="false" ht="15" hidden="false" customHeight="false" outlineLevel="0" collapsed="false">
      <c r="A79" s="12"/>
      <c r="B79" s="6"/>
      <c r="C79" s="13" t="str">
        <f aca="false">IF(B79="","",IFERROR(INDEX(สินค้า!$B$2:$B$101,MATCH(B79,สินค้า!$A$2:$A$101,0)),"ไม่พบรหัส"))</f>
        <v/>
      </c>
      <c r="D79" s="14" t="str">
        <f aca="false">IF(B79="","",IFERROR(INDEX(สินค้า!$D$2:$D$101,MATCH(B79,สินค้า!$A$2:$A$101,0)),""))</f>
        <v/>
      </c>
      <c r="E79" s="6"/>
      <c r="F79" s="8"/>
      <c r="G79" s="8"/>
      <c r="H79" s="8"/>
      <c r="I79" s="15"/>
      <c r="J79" s="15"/>
      <c r="K79" s="10" t="str">
        <f aca="false">IF(J79&lt;&gt;"",J79,IF(I79="","",I79*IFERROR(INDEX(สินค้า!$G$2:$G$101,MATCH(B79,สินค้า!$A$2:$A$101,0)),0)))</f>
        <v/>
      </c>
      <c r="L79" s="16" t="str">
        <f aca="false">IF(OR(F79="",F79=0,G79=""),"",G79/F79)</f>
        <v/>
      </c>
      <c r="M79" s="16" t="str">
        <f aca="false">IF(OR(G79="",G79=0,H79=""),"",H79/G79)</f>
        <v/>
      </c>
    </row>
    <row r="80" customFormat="false" ht="15" hidden="false" customHeight="false" outlineLevel="0" collapsed="false">
      <c r="A80" s="12"/>
      <c r="B80" s="6"/>
      <c r="C80" s="13" t="str">
        <f aca="false">IF(B80="","",IFERROR(INDEX(สินค้า!$B$2:$B$101,MATCH(B80,สินค้า!$A$2:$A$101,0)),"ไม่พบรหัส"))</f>
        <v/>
      </c>
      <c r="D80" s="14" t="str">
        <f aca="false">IF(B80="","",IFERROR(INDEX(สินค้า!$D$2:$D$101,MATCH(B80,สินค้า!$A$2:$A$101,0)),""))</f>
        <v/>
      </c>
      <c r="E80" s="6"/>
      <c r="F80" s="8"/>
      <c r="G80" s="8"/>
      <c r="H80" s="8"/>
      <c r="I80" s="15"/>
      <c r="J80" s="15"/>
      <c r="K80" s="10" t="str">
        <f aca="false">IF(J80&lt;&gt;"",J80,IF(I80="","",I80*IFERROR(INDEX(สินค้า!$G$2:$G$101,MATCH(B80,สินค้า!$A$2:$A$101,0)),0)))</f>
        <v/>
      </c>
      <c r="L80" s="16" t="str">
        <f aca="false">IF(OR(F80="",F80=0,G80=""),"",G80/F80)</f>
        <v/>
      </c>
      <c r="M80" s="16" t="str">
        <f aca="false">IF(OR(G80="",G80=0,H80=""),"",H80/G80)</f>
        <v/>
      </c>
    </row>
    <row r="81" customFormat="false" ht="15" hidden="false" customHeight="false" outlineLevel="0" collapsed="false">
      <c r="A81" s="12"/>
      <c r="B81" s="6"/>
      <c r="C81" s="13" t="str">
        <f aca="false">IF(B81="","",IFERROR(INDEX(สินค้า!$B$2:$B$101,MATCH(B81,สินค้า!$A$2:$A$101,0)),"ไม่พบรหัส"))</f>
        <v/>
      </c>
      <c r="D81" s="14" t="str">
        <f aca="false">IF(B81="","",IFERROR(INDEX(สินค้า!$D$2:$D$101,MATCH(B81,สินค้า!$A$2:$A$101,0)),""))</f>
        <v/>
      </c>
      <c r="E81" s="6"/>
      <c r="F81" s="8"/>
      <c r="G81" s="8"/>
      <c r="H81" s="8"/>
      <c r="I81" s="15"/>
      <c r="J81" s="15"/>
      <c r="K81" s="10" t="str">
        <f aca="false">IF(J81&lt;&gt;"",J81,IF(I81="","",I81*IFERROR(INDEX(สินค้า!$G$2:$G$101,MATCH(B81,สินค้า!$A$2:$A$101,0)),0)))</f>
        <v/>
      </c>
      <c r="L81" s="16" t="str">
        <f aca="false">IF(OR(F81="",F81=0,G81=""),"",G81/F81)</f>
        <v/>
      </c>
      <c r="M81" s="16" t="str">
        <f aca="false">IF(OR(G81="",G81=0,H81=""),"",H81/G81)</f>
        <v/>
      </c>
    </row>
    <row r="82" customFormat="false" ht="15" hidden="false" customHeight="false" outlineLevel="0" collapsed="false">
      <c r="A82" s="12"/>
      <c r="B82" s="6"/>
      <c r="C82" s="13" t="str">
        <f aca="false">IF(B82="","",IFERROR(INDEX(สินค้า!$B$2:$B$101,MATCH(B82,สินค้า!$A$2:$A$101,0)),"ไม่พบรหัส"))</f>
        <v/>
      </c>
      <c r="D82" s="14" t="str">
        <f aca="false">IF(B82="","",IFERROR(INDEX(สินค้า!$D$2:$D$101,MATCH(B82,สินค้า!$A$2:$A$101,0)),""))</f>
        <v/>
      </c>
      <c r="E82" s="6"/>
      <c r="F82" s="8"/>
      <c r="G82" s="8"/>
      <c r="H82" s="8"/>
      <c r="I82" s="15"/>
      <c r="J82" s="15"/>
      <c r="K82" s="10" t="str">
        <f aca="false">IF(J82&lt;&gt;"",J82,IF(I82="","",I82*IFERROR(INDEX(สินค้า!$G$2:$G$101,MATCH(B82,สินค้า!$A$2:$A$101,0)),0)))</f>
        <v/>
      </c>
      <c r="L82" s="16" t="str">
        <f aca="false">IF(OR(F82="",F82=0,G82=""),"",G82/F82)</f>
        <v/>
      </c>
      <c r="M82" s="16" t="str">
        <f aca="false">IF(OR(G82="",G82=0,H82=""),"",H82/G82)</f>
        <v/>
      </c>
    </row>
    <row r="83" customFormat="false" ht="15" hidden="false" customHeight="false" outlineLevel="0" collapsed="false">
      <c r="A83" s="12"/>
      <c r="B83" s="6"/>
      <c r="C83" s="13" t="str">
        <f aca="false">IF(B83="","",IFERROR(INDEX(สินค้า!$B$2:$B$101,MATCH(B83,สินค้า!$A$2:$A$101,0)),"ไม่พบรหัส"))</f>
        <v/>
      </c>
      <c r="D83" s="14" t="str">
        <f aca="false">IF(B83="","",IFERROR(INDEX(สินค้า!$D$2:$D$101,MATCH(B83,สินค้า!$A$2:$A$101,0)),""))</f>
        <v/>
      </c>
      <c r="E83" s="6"/>
      <c r="F83" s="8"/>
      <c r="G83" s="8"/>
      <c r="H83" s="8"/>
      <c r="I83" s="15"/>
      <c r="J83" s="15"/>
      <c r="K83" s="10" t="str">
        <f aca="false">IF(J83&lt;&gt;"",J83,IF(I83="","",I83*IFERROR(INDEX(สินค้า!$G$2:$G$101,MATCH(B83,สินค้า!$A$2:$A$101,0)),0)))</f>
        <v/>
      </c>
      <c r="L83" s="16" t="str">
        <f aca="false">IF(OR(F83="",F83=0,G83=""),"",G83/F83)</f>
        <v/>
      </c>
      <c r="M83" s="16" t="str">
        <f aca="false">IF(OR(G83="",G83=0,H83=""),"",H83/G83)</f>
        <v/>
      </c>
    </row>
    <row r="84" customFormat="false" ht="15" hidden="false" customHeight="false" outlineLevel="0" collapsed="false">
      <c r="A84" s="12"/>
      <c r="B84" s="6"/>
      <c r="C84" s="13" t="str">
        <f aca="false">IF(B84="","",IFERROR(INDEX(สินค้า!$B$2:$B$101,MATCH(B84,สินค้า!$A$2:$A$101,0)),"ไม่พบรหัส"))</f>
        <v/>
      </c>
      <c r="D84" s="14" t="str">
        <f aca="false">IF(B84="","",IFERROR(INDEX(สินค้า!$D$2:$D$101,MATCH(B84,สินค้า!$A$2:$A$101,0)),""))</f>
        <v/>
      </c>
      <c r="E84" s="6"/>
      <c r="F84" s="8"/>
      <c r="G84" s="8"/>
      <c r="H84" s="8"/>
      <c r="I84" s="15"/>
      <c r="J84" s="15"/>
      <c r="K84" s="10" t="str">
        <f aca="false">IF(J84&lt;&gt;"",J84,IF(I84="","",I84*IFERROR(INDEX(สินค้า!$G$2:$G$101,MATCH(B84,สินค้า!$A$2:$A$101,0)),0)))</f>
        <v/>
      </c>
      <c r="L84" s="16" t="str">
        <f aca="false">IF(OR(F84="",F84=0,G84=""),"",G84/F84)</f>
        <v/>
      </c>
      <c r="M84" s="16" t="str">
        <f aca="false">IF(OR(G84="",G84=0,H84=""),"",H84/G84)</f>
        <v/>
      </c>
    </row>
    <row r="85" customFormat="false" ht="15" hidden="false" customHeight="false" outlineLevel="0" collapsed="false">
      <c r="A85" s="12"/>
      <c r="B85" s="6"/>
      <c r="C85" s="13" t="str">
        <f aca="false">IF(B85="","",IFERROR(INDEX(สินค้า!$B$2:$B$101,MATCH(B85,สินค้า!$A$2:$A$101,0)),"ไม่พบรหัส"))</f>
        <v/>
      </c>
      <c r="D85" s="14" t="str">
        <f aca="false">IF(B85="","",IFERROR(INDEX(สินค้า!$D$2:$D$101,MATCH(B85,สินค้า!$A$2:$A$101,0)),""))</f>
        <v/>
      </c>
      <c r="E85" s="6"/>
      <c r="F85" s="8"/>
      <c r="G85" s="8"/>
      <c r="H85" s="8"/>
      <c r="I85" s="15"/>
      <c r="J85" s="15"/>
      <c r="K85" s="10" t="str">
        <f aca="false">IF(J85&lt;&gt;"",J85,IF(I85="","",I85*IFERROR(INDEX(สินค้า!$G$2:$G$101,MATCH(B85,สินค้า!$A$2:$A$101,0)),0)))</f>
        <v/>
      </c>
      <c r="L85" s="16" t="str">
        <f aca="false">IF(OR(F85="",F85=0,G85=""),"",G85/F85)</f>
        <v/>
      </c>
      <c r="M85" s="16" t="str">
        <f aca="false">IF(OR(G85="",G85=0,H85=""),"",H85/G85)</f>
        <v/>
      </c>
    </row>
    <row r="86" customFormat="false" ht="15" hidden="false" customHeight="false" outlineLevel="0" collapsed="false">
      <c r="A86" s="12"/>
      <c r="B86" s="6"/>
      <c r="C86" s="13" t="str">
        <f aca="false">IF(B86="","",IFERROR(INDEX(สินค้า!$B$2:$B$101,MATCH(B86,สินค้า!$A$2:$A$101,0)),"ไม่พบรหัส"))</f>
        <v/>
      </c>
      <c r="D86" s="14" t="str">
        <f aca="false">IF(B86="","",IFERROR(INDEX(สินค้า!$D$2:$D$101,MATCH(B86,สินค้า!$A$2:$A$101,0)),""))</f>
        <v/>
      </c>
      <c r="E86" s="6"/>
      <c r="F86" s="8"/>
      <c r="G86" s="8"/>
      <c r="H86" s="8"/>
      <c r="I86" s="15"/>
      <c r="J86" s="15"/>
      <c r="K86" s="10" t="str">
        <f aca="false">IF(J86&lt;&gt;"",J86,IF(I86="","",I86*IFERROR(INDEX(สินค้า!$G$2:$G$101,MATCH(B86,สินค้า!$A$2:$A$101,0)),0)))</f>
        <v/>
      </c>
      <c r="L86" s="16" t="str">
        <f aca="false">IF(OR(F86="",F86=0,G86=""),"",G86/F86)</f>
        <v/>
      </c>
      <c r="M86" s="16" t="str">
        <f aca="false">IF(OR(G86="",G86=0,H86=""),"",H86/G86)</f>
        <v/>
      </c>
    </row>
    <row r="87" customFormat="false" ht="15" hidden="false" customHeight="false" outlineLevel="0" collapsed="false">
      <c r="A87" s="12"/>
      <c r="B87" s="6"/>
      <c r="C87" s="13" t="str">
        <f aca="false">IF(B87="","",IFERROR(INDEX(สินค้า!$B$2:$B$101,MATCH(B87,สินค้า!$A$2:$A$101,0)),"ไม่พบรหัส"))</f>
        <v/>
      </c>
      <c r="D87" s="14" t="str">
        <f aca="false">IF(B87="","",IFERROR(INDEX(สินค้า!$D$2:$D$101,MATCH(B87,สินค้า!$A$2:$A$101,0)),""))</f>
        <v/>
      </c>
      <c r="E87" s="6"/>
      <c r="F87" s="8"/>
      <c r="G87" s="8"/>
      <c r="H87" s="8"/>
      <c r="I87" s="15"/>
      <c r="J87" s="15"/>
      <c r="K87" s="10" t="str">
        <f aca="false">IF(J87&lt;&gt;"",J87,IF(I87="","",I87*IFERROR(INDEX(สินค้า!$G$2:$G$101,MATCH(B87,สินค้า!$A$2:$A$101,0)),0)))</f>
        <v/>
      </c>
      <c r="L87" s="16" t="str">
        <f aca="false">IF(OR(F87="",F87=0,G87=""),"",G87/F87)</f>
        <v/>
      </c>
      <c r="M87" s="16" t="str">
        <f aca="false">IF(OR(G87="",G87=0,H87=""),"",H87/G87)</f>
        <v/>
      </c>
    </row>
    <row r="88" customFormat="false" ht="15" hidden="false" customHeight="false" outlineLevel="0" collapsed="false">
      <c r="A88" s="12"/>
      <c r="B88" s="6"/>
      <c r="C88" s="13" t="str">
        <f aca="false">IF(B88="","",IFERROR(INDEX(สินค้า!$B$2:$B$101,MATCH(B88,สินค้า!$A$2:$A$101,0)),"ไม่พบรหัส"))</f>
        <v/>
      </c>
      <c r="D88" s="14" t="str">
        <f aca="false">IF(B88="","",IFERROR(INDEX(สินค้า!$D$2:$D$101,MATCH(B88,สินค้า!$A$2:$A$101,0)),""))</f>
        <v/>
      </c>
      <c r="E88" s="6"/>
      <c r="F88" s="8"/>
      <c r="G88" s="8"/>
      <c r="H88" s="8"/>
      <c r="I88" s="15"/>
      <c r="J88" s="15"/>
      <c r="K88" s="10" t="str">
        <f aca="false">IF(J88&lt;&gt;"",J88,IF(I88="","",I88*IFERROR(INDEX(สินค้า!$G$2:$G$101,MATCH(B88,สินค้า!$A$2:$A$101,0)),0)))</f>
        <v/>
      </c>
      <c r="L88" s="16" t="str">
        <f aca="false">IF(OR(F88="",F88=0,G88=""),"",G88/F88)</f>
        <v/>
      </c>
      <c r="M88" s="16" t="str">
        <f aca="false">IF(OR(G88="",G88=0,H88=""),"",H88/G88)</f>
        <v/>
      </c>
    </row>
    <row r="89" customFormat="false" ht="15" hidden="false" customHeight="false" outlineLevel="0" collapsed="false">
      <c r="A89" s="12"/>
      <c r="B89" s="6"/>
      <c r="C89" s="13" t="str">
        <f aca="false">IF(B89="","",IFERROR(INDEX(สินค้า!$B$2:$B$101,MATCH(B89,สินค้า!$A$2:$A$101,0)),"ไม่พบรหัส"))</f>
        <v/>
      </c>
      <c r="D89" s="14" t="str">
        <f aca="false">IF(B89="","",IFERROR(INDEX(สินค้า!$D$2:$D$101,MATCH(B89,สินค้า!$A$2:$A$101,0)),""))</f>
        <v/>
      </c>
      <c r="E89" s="6"/>
      <c r="F89" s="8"/>
      <c r="G89" s="8"/>
      <c r="H89" s="8"/>
      <c r="I89" s="15"/>
      <c r="J89" s="15"/>
      <c r="K89" s="10" t="str">
        <f aca="false">IF(J89&lt;&gt;"",J89,IF(I89="","",I89*IFERROR(INDEX(สินค้า!$G$2:$G$101,MATCH(B89,สินค้า!$A$2:$A$101,0)),0)))</f>
        <v/>
      </c>
      <c r="L89" s="16" t="str">
        <f aca="false">IF(OR(F89="",F89=0,G89=""),"",G89/F89)</f>
        <v/>
      </c>
      <c r="M89" s="16" t="str">
        <f aca="false">IF(OR(G89="",G89=0,H89=""),"",H89/G89)</f>
        <v/>
      </c>
    </row>
    <row r="90" customFormat="false" ht="15" hidden="false" customHeight="false" outlineLevel="0" collapsed="false">
      <c r="A90" s="12"/>
      <c r="B90" s="6"/>
      <c r="C90" s="13" t="str">
        <f aca="false">IF(B90="","",IFERROR(INDEX(สินค้า!$B$2:$B$101,MATCH(B90,สินค้า!$A$2:$A$101,0)),"ไม่พบรหัส"))</f>
        <v/>
      </c>
      <c r="D90" s="14" t="str">
        <f aca="false">IF(B90="","",IFERROR(INDEX(สินค้า!$D$2:$D$101,MATCH(B90,สินค้า!$A$2:$A$101,0)),""))</f>
        <v/>
      </c>
      <c r="E90" s="6"/>
      <c r="F90" s="8"/>
      <c r="G90" s="8"/>
      <c r="H90" s="8"/>
      <c r="I90" s="15"/>
      <c r="J90" s="15"/>
      <c r="K90" s="10" t="str">
        <f aca="false">IF(J90&lt;&gt;"",J90,IF(I90="","",I90*IFERROR(INDEX(สินค้า!$G$2:$G$101,MATCH(B90,สินค้า!$A$2:$A$101,0)),0)))</f>
        <v/>
      </c>
      <c r="L90" s="16" t="str">
        <f aca="false">IF(OR(F90="",F90=0,G90=""),"",G90/F90)</f>
        <v/>
      </c>
      <c r="M90" s="16" t="str">
        <f aca="false">IF(OR(G90="",G90=0,H90=""),"",H90/G90)</f>
        <v/>
      </c>
    </row>
    <row r="91" customFormat="false" ht="15" hidden="false" customHeight="false" outlineLevel="0" collapsed="false">
      <c r="A91" s="12"/>
      <c r="B91" s="6"/>
      <c r="C91" s="13" t="str">
        <f aca="false">IF(B91="","",IFERROR(INDEX(สินค้า!$B$2:$B$101,MATCH(B91,สินค้า!$A$2:$A$101,0)),"ไม่พบรหัส"))</f>
        <v/>
      </c>
      <c r="D91" s="14" t="str">
        <f aca="false">IF(B91="","",IFERROR(INDEX(สินค้า!$D$2:$D$101,MATCH(B91,สินค้า!$A$2:$A$101,0)),""))</f>
        <v/>
      </c>
      <c r="E91" s="6"/>
      <c r="F91" s="8"/>
      <c r="G91" s="8"/>
      <c r="H91" s="8"/>
      <c r="I91" s="15"/>
      <c r="J91" s="15"/>
      <c r="K91" s="10" t="str">
        <f aca="false">IF(J91&lt;&gt;"",J91,IF(I91="","",I91*IFERROR(INDEX(สินค้า!$G$2:$G$101,MATCH(B91,สินค้า!$A$2:$A$101,0)),0)))</f>
        <v/>
      </c>
      <c r="L91" s="16" t="str">
        <f aca="false">IF(OR(F91="",F91=0,G91=""),"",G91/F91)</f>
        <v/>
      </c>
      <c r="M91" s="16" t="str">
        <f aca="false">IF(OR(G91="",G91=0,H91=""),"",H91/G91)</f>
        <v/>
      </c>
    </row>
    <row r="92" customFormat="false" ht="15" hidden="false" customHeight="false" outlineLevel="0" collapsed="false">
      <c r="A92" s="12"/>
      <c r="B92" s="6"/>
      <c r="C92" s="13" t="str">
        <f aca="false">IF(B92="","",IFERROR(INDEX(สินค้า!$B$2:$B$101,MATCH(B92,สินค้า!$A$2:$A$101,0)),"ไม่พบรหัส"))</f>
        <v/>
      </c>
      <c r="D92" s="14" t="str">
        <f aca="false">IF(B92="","",IFERROR(INDEX(สินค้า!$D$2:$D$101,MATCH(B92,สินค้า!$A$2:$A$101,0)),""))</f>
        <v/>
      </c>
      <c r="E92" s="6"/>
      <c r="F92" s="8"/>
      <c r="G92" s="8"/>
      <c r="H92" s="8"/>
      <c r="I92" s="15"/>
      <c r="J92" s="15"/>
      <c r="K92" s="10" t="str">
        <f aca="false">IF(J92&lt;&gt;"",J92,IF(I92="","",I92*IFERROR(INDEX(สินค้า!$G$2:$G$101,MATCH(B92,สินค้า!$A$2:$A$101,0)),0)))</f>
        <v/>
      </c>
      <c r="L92" s="16" t="str">
        <f aca="false">IF(OR(F92="",F92=0,G92=""),"",G92/F92)</f>
        <v/>
      </c>
      <c r="M92" s="16" t="str">
        <f aca="false">IF(OR(G92="",G92=0,H92=""),"",H92/G92)</f>
        <v/>
      </c>
    </row>
    <row r="93" customFormat="false" ht="15" hidden="false" customHeight="false" outlineLevel="0" collapsed="false">
      <c r="A93" s="12"/>
      <c r="B93" s="6"/>
      <c r="C93" s="13" t="str">
        <f aca="false">IF(B93="","",IFERROR(INDEX(สินค้า!$B$2:$B$101,MATCH(B93,สินค้า!$A$2:$A$101,0)),"ไม่พบรหัส"))</f>
        <v/>
      </c>
      <c r="D93" s="14" t="str">
        <f aca="false">IF(B93="","",IFERROR(INDEX(สินค้า!$D$2:$D$101,MATCH(B93,สินค้า!$A$2:$A$101,0)),""))</f>
        <v/>
      </c>
      <c r="E93" s="6"/>
      <c r="F93" s="8"/>
      <c r="G93" s="8"/>
      <c r="H93" s="8"/>
      <c r="I93" s="15"/>
      <c r="J93" s="15"/>
      <c r="K93" s="10" t="str">
        <f aca="false">IF(J93&lt;&gt;"",J93,IF(I93="","",I93*IFERROR(INDEX(สินค้า!$G$2:$G$101,MATCH(B93,สินค้า!$A$2:$A$101,0)),0)))</f>
        <v/>
      </c>
      <c r="L93" s="16" t="str">
        <f aca="false">IF(OR(F93="",F93=0,G93=""),"",G93/F93)</f>
        <v/>
      </c>
      <c r="M93" s="16" t="str">
        <f aca="false">IF(OR(G93="",G93=0,H93=""),"",H93/G93)</f>
        <v/>
      </c>
    </row>
    <row r="94" customFormat="false" ht="15" hidden="false" customHeight="false" outlineLevel="0" collapsed="false">
      <c r="A94" s="12"/>
      <c r="B94" s="6"/>
      <c r="C94" s="13" t="str">
        <f aca="false">IF(B94="","",IFERROR(INDEX(สินค้า!$B$2:$B$101,MATCH(B94,สินค้า!$A$2:$A$101,0)),"ไม่พบรหัส"))</f>
        <v/>
      </c>
      <c r="D94" s="14" t="str">
        <f aca="false">IF(B94="","",IFERROR(INDEX(สินค้า!$D$2:$D$101,MATCH(B94,สินค้า!$A$2:$A$101,0)),""))</f>
        <v/>
      </c>
      <c r="E94" s="6"/>
      <c r="F94" s="8"/>
      <c r="G94" s="8"/>
      <c r="H94" s="8"/>
      <c r="I94" s="15"/>
      <c r="J94" s="15"/>
      <c r="K94" s="10" t="str">
        <f aca="false">IF(J94&lt;&gt;"",J94,IF(I94="","",I94*IFERROR(INDEX(สินค้า!$G$2:$G$101,MATCH(B94,สินค้า!$A$2:$A$101,0)),0)))</f>
        <v/>
      </c>
      <c r="L94" s="16" t="str">
        <f aca="false">IF(OR(F94="",F94=0,G94=""),"",G94/F94)</f>
        <v/>
      </c>
      <c r="M94" s="16" t="str">
        <f aca="false">IF(OR(G94="",G94=0,H94=""),"",H94/G94)</f>
        <v/>
      </c>
    </row>
    <row r="95" customFormat="false" ht="15" hidden="false" customHeight="false" outlineLevel="0" collapsed="false">
      <c r="A95" s="12"/>
      <c r="B95" s="6"/>
      <c r="C95" s="13" t="str">
        <f aca="false">IF(B95="","",IFERROR(INDEX(สินค้า!$B$2:$B$101,MATCH(B95,สินค้า!$A$2:$A$101,0)),"ไม่พบรหัส"))</f>
        <v/>
      </c>
      <c r="D95" s="14" t="str">
        <f aca="false">IF(B95="","",IFERROR(INDEX(สินค้า!$D$2:$D$101,MATCH(B95,สินค้า!$A$2:$A$101,0)),""))</f>
        <v/>
      </c>
      <c r="E95" s="6"/>
      <c r="F95" s="8"/>
      <c r="G95" s="8"/>
      <c r="H95" s="8"/>
      <c r="I95" s="15"/>
      <c r="J95" s="15"/>
      <c r="K95" s="10" t="str">
        <f aca="false">IF(J95&lt;&gt;"",J95,IF(I95="","",I95*IFERROR(INDEX(สินค้า!$G$2:$G$101,MATCH(B95,สินค้า!$A$2:$A$101,0)),0)))</f>
        <v/>
      </c>
      <c r="L95" s="16" t="str">
        <f aca="false">IF(OR(F95="",F95=0,G95=""),"",G95/F95)</f>
        <v/>
      </c>
      <c r="M95" s="16" t="str">
        <f aca="false">IF(OR(G95="",G95=0,H95=""),"",H95/G95)</f>
        <v/>
      </c>
    </row>
    <row r="96" customFormat="false" ht="15" hidden="false" customHeight="false" outlineLevel="0" collapsed="false">
      <c r="A96" s="12"/>
      <c r="B96" s="6"/>
      <c r="C96" s="13" t="str">
        <f aca="false">IF(B96="","",IFERROR(INDEX(สินค้า!$B$2:$B$101,MATCH(B96,สินค้า!$A$2:$A$101,0)),"ไม่พบรหัส"))</f>
        <v/>
      </c>
      <c r="D96" s="14" t="str">
        <f aca="false">IF(B96="","",IFERROR(INDEX(สินค้า!$D$2:$D$101,MATCH(B96,สินค้า!$A$2:$A$101,0)),""))</f>
        <v/>
      </c>
      <c r="E96" s="6"/>
      <c r="F96" s="8"/>
      <c r="G96" s="8"/>
      <c r="H96" s="8"/>
      <c r="I96" s="15"/>
      <c r="J96" s="15"/>
      <c r="K96" s="10" t="str">
        <f aca="false">IF(J96&lt;&gt;"",J96,IF(I96="","",I96*IFERROR(INDEX(สินค้า!$G$2:$G$101,MATCH(B96,สินค้า!$A$2:$A$101,0)),0)))</f>
        <v/>
      </c>
      <c r="L96" s="16" t="str">
        <f aca="false">IF(OR(F96="",F96=0,G96=""),"",G96/F96)</f>
        <v/>
      </c>
      <c r="M96" s="16" t="str">
        <f aca="false">IF(OR(G96="",G96=0,H96=""),"",H96/G96)</f>
        <v/>
      </c>
    </row>
    <row r="97" customFormat="false" ht="15" hidden="false" customHeight="false" outlineLevel="0" collapsed="false">
      <c r="A97" s="12"/>
      <c r="B97" s="6"/>
      <c r="C97" s="13" t="str">
        <f aca="false">IF(B97="","",IFERROR(INDEX(สินค้า!$B$2:$B$101,MATCH(B97,สินค้า!$A$2:$A$101,0)),"ไม่พบรหัส"))</f>
        <v/>
      </c>
      <c r="D97" s="14" t="str">
        <f aca="false">IF(B97="","",IFERROR(INDEX(สินค้า!$D$2:$D$101,MATCH(B97,สินค้า!$A$2:$A$101,0)),""))</f>
        <v/>
      </c>
      <c r="E97" s="6"/>
      <c r="F97" s="8"/>
      <c r="G97" s="8"/>
      <c r="H97" s="8"/>
      <c r="I97" s="15"/>
      <c r="J97" s="15"/>
      <c r="K97" s="10" t="str">
        <f aca="false">IF(J97&lt;&gt;"",J97,IF(I97="","",I97*IFERROR(INDEX(สินค้า!$G$2:$G$101,MATCH(B97,สินค้า!$A$2:$A$101,0)),0)))</f>
        <v/>
      </c>
      <c r="L97" s="16" t="str">
        <f aca="false">IF(OR(F97="",F97=0,G97=""),"",G97/F97)</f>
        <v/>
      </c>
      <c r="M97" s="16" t="str">
        <f aca="false">IF(OR(G97="",G97=0,H97=""),"",H97/G97)</f>
        <v/>
      </c>
    </row>
    <row r="98" customFormat="false" ht="15" hidden="false" customHeight="false" outlineLevel="0" collapsed="false">
      <c r="A98" s="12"/>
      <c r="B98" s="6"/>
      <c r="C98" s="13" t="str">
        <f aca="false">IF(B98="","",IFERROR(INDEX(สินค้า!$B$2:$B$101,MATCH(B98,สินค้า!$A$2:$A$101,0)),"ไม่พบรหัส"))</f>
        <v/>
      </c>
      <c r="D98" s="14" t="str">
        <f aca="false">IF(B98="","",IFERROR(INDEX(สินค้า!$D$2:$D$101,MATCH(B98,สินค้า!$A$2:$A$101,0)),""))</f>
        <v/>
      </c>
      <c r="E98" s="6"/>
      <c r="F98" s="8"/>
      <c r="G98" s="8"/>
      <c r="H98" s="8"/>
      <c r="I98" s="15"/>
      <c r="J98" s="15"/>
      <c r="K98" s="10" t="str">
        <f aca="false">IF(J98&lt;&gt;"",J98,IF(I98="","",I98*IFERROR(INDEX(สินค้า!$G$2:$G$101,MATCH(B98,สินค้า!$A$2:$A$101,0)),0)))</f>
        <v/>
      </c>
      <c r="L98" s="16" t="str">
        <f aca="false">IF(OR(F98="",F98=0,G98=""),"",G98/F98)</f>
        <v/>
      </c>
      <c r="M98" s="16" t="str">
        <f aca="false">IF(OR(G98="",G98=0,H98=""),"",H98/G98)</f>
        <v/>
      </c>
    </row>
    <row r="99" customFormat="false" ht="15" hidden="false" customHeight="false" outlineLevel="0" collapsed="false">
      <c r="A99" s="12"/>
      <c r="B99" s="6"/>
      <c r="C99" s="13" t="str">
        <f aca="false">IF(B99="","",IFERROR(INDEX(สินค้า!$B$2:$B$101,MATCH(B99,สินค้า!$A$2:$A$101,0)),"ไม่พบรหัส"))</f>
        <v/>
      </c>
      <c r="D99" s="14" t="str">
        <f aca="false">IF(B99="","",IFERROR(INDEX(สินค้า!$D$2:$D$101,MATCH(B99,สินค้า!$A$2:$A$101,0)),""))</f>
        <v/>
      </c>
      <c r="E99" s="6"/>
      <c r="F99" s="8"/>
      <c r="G99" s="8"/>
      <c r="H99" s="8"/>
      <c r="I99" s="15"/>
      <c r="J99" s="15"/>
      <c r="K99" s="10" t="str">
        <f aca="false">IF(J99&lt;&gt;"",J99,IF(I99="","",I99*IFERROR(INDEX(สินค้า!$G$2:$G$101,MATCH(B99,สินค้า!$A$2:$A$101,0)),0)))</f>
        <v/>
      </c>
      <c r="L99" s="16" t="str">
        <f aca="false">IF(OR(F99="",F99=0,G99=""),"",G99/F99)</f>
        <v/>
      </c>
      <c r="M99" s="16" t="str">
        <f aca="false">IF(OR(G99="",G99=0,H99=""),"",H99/G99)</f>
        <v/>
      </c>
    </row>
    <row r="100" customFormat="false" ht="15" hidden="false" customHeight="false" outlineLevel="0" collapsed="false">
      <c r="A100" s="12"/>
      <c r="B100" s="6"/>
      <c r="C100" s="13" t="str">
        <f aca="false">IF(B100="","",IFERROR(INDEX(สินค้า!$B$2:$B$101,MATCH(B100,สินค้า!$A$2:$A$101,0)),"ไม่พบรหัส"))</f>
        <v/>
      </c>
      <c r="D100" s="14" t="str">
        <f aca="false">IF(B100="","",IFERROR(INDEX(สินค้า!$D$2:$D$101,MATCH(B100,สินค้า!$A$2:$A$101,0)),""))</f>
        <v/>
      </c>
      <c r="E100" s="6"/>
      <c r="F100" s="8"/>
      <c r="G100" s="8"/>
      <c r="H100" s="8"/>
      <c r="I100" s="15"/>
      <c r="J100" s="15"/>
      <c r="K100" s="10" t="str">
        <f aca="false">IF(J100&lt;&gt;"",J100,IF(I100="","",I100*IFERROR(INDEX(สินค้า!$G$2:$G$101,MATCH(B100,สินค้า!$A$2:$A$101,0)),0)))</f>
        <v/>
      </c>
      <c r="L100" s="16" t="str">
        <f aca="false">IF(OR(F100="",F100=0,G100=""),"",G100/F100)</f>
        <v/>
      </c>
      <c r="M100" s="16" t="str">
        <f aca="false">IF(OR(G100="",G100=0,H100=""),"",H100/G100)</f>
        <v/>
      </c>
    </row>
    <row r="101" customFormat="false" ht="15" hidden="false" customHeight="false" outlineLevel="0" collapsed="false">
      <c r="A101" s="12"/>
      <c r="B101" s="6"/>
      <c r="C101" s="13" t="str">
        <f aca="false">IF(B101="","",IFERROR(INDEX(สินค้า!$B$2:$B$101,MATCH(B101,สินค้า!$A$2:$A$101,0)),"ไม่พบรหัส"))</f>
        <v/>
      </c>
      <c r="D101" s="14" t="str">
        <f aca="false">IF(B101="","",IFERROR(INDEX(สินค้า!$D$2:$D$101,MATCH(B101,สินค้า!$A$2:$A$101,0)),""))</f>
        <v/>
      </c>
      <c r="E101" s="6"/>
      <c r="F101" s="8"/>
      <c r="G101" s="8"/>
      <c r="H101" s="8"/>
      <c r="I101" s="15"/>
      <c r="J101" s="15"/>
      <c r="K101" s="10" t="str">
        <f aca="false">IF(J101&lt;&gt;"",J101,IF(I101="","",I101*IFERROR(INDEX(สินค้า!$G$2:$G$101,MATCH(B101,สินค้า!$A$2:$A$101,0)),0)))</f>
        <v/>
      </c>
      <c r="L101" s="16" t="str">
        <f aca="false">IF(OR(F101="",F101=0,G101=""),"",G101/F101)</f>
        <v/>
      </c>
      <c r="M101" s="16" t="str">
        <f aca="false">IF(OR(G101="",G101=0,H101=""),"",H101/G101)</f>
        <v/>
      </c>
    </row>
    <row r="102" customFormat="false" ht="15" hidden="false" customHeight="false" outlineLevel="0" collapsed="false">
      <c r="A102" s="12"/>
      <c r="B102" s="6"/>
      <c r="C102" s="13" t="str">
        <f aca="false">IF(B102="","",IFERROR(INDEX(สินค้า!$B$2:$B$101,MATCH(B102,สินค้า!$A$2:$A$101,0)),"ไม่พบรหัส"))</f>
        <v/>
      </c>
      <c r="D102" s="14" t="str">
        <f aca="false">IF(B102="","",IFERROR(INDEX(สินค้า!$D$2:$D$101,MATCH(B102,สินค้า!$A$2:$A$101,0)),""))</f>
        <v/>
      </c>
      <c r="E102" s="6"/>
      <c r="F102" s="8"/>
      <c r="G102" s="8"/>
      <c r="H102" s="8"/>
      <c r="I102" s="15"/>
      <c r="J102" s="15"/>
      <c r="K102" s="10" t="str">
        <f aca="false">IF(J102&lt;&gt;"",J102,IF(I102="","",I102*IFERROR(INDEX(สินค้า!$G$2:$G$101,MATCH(B102,สินค้า!$A$2:$A$101,0)),0)))</f>
        <v/>
      </c>
      <c r="L102" s="16" t="str">
        <f aca="false">IF(OR(F102="",F102=0,G102=""),"",G102/F102)</f>
        <v/>
      </c>
      <c r="M102" s="16" t="str">
        <f aca="false">IF(OR(G102="",G102=0,H102=""),"",H102/G102)</f>
        <v/>
      </c>
    </row>
    <row r="103" customFormat="false" ht="15" hidden="false" customHeight="false" outlineLevel="0" collapsed="false">
      <c r="A103" s="12"/>
      <c r="B103" s="6"/>
      <c r="C103" s="13" t="str">
        <f aca="false">IF(B103="","",IFERROR(INDEX(สินค้า!$B$2:$B$101,MATCH(B103,สินค้า!$A$2:$A$101,0)),"ไม่พบรหัส"))</f>
        <v/>
      </c>
      <c r="D103" s="14" t="str">
        <f aca="false">IF(B103="","",IFERROR(INDEX(สินค้า!$D$2:$D$101,MATCH(B103,สินค้า!$A$2:$A$101,0)),""))</f>
        <v/>
      </c>
      <c r="E103" s="6"/>
      <c r="F103" s="8"/>
      <c r="G103" s="8"/>
      <c r="H103" s="8"/>
      <c r="I103" s="15"/>
      <c r="J103" s="15"/>
      <c r="K103" s="10" t="str">
        <f aca="false">IF(J103&lt;&gt;"",J103,IF(I103="","",I103*IFERROR(INDEX(สินค้า!$G$2:$G$101,MATCH(B103,สินค้า!$A$2:$A$101,0)),0)))</f>
        <v/>
      </c>
      <c r="L103" s="16" t="str">
        <f aca="false">IF(OR(F103="",F103=0,G103=""),"",G103/F103)</f>
        <v/>
      </c>
      <c r="M103" s="16" t="str">
        <f aca="false">IF(OR(G103="",G103=0,H103=""),"",H103/G103)</f>
        <v/>
      </c>
    </row>
    <row r="104" customFormat="false" ht="15" hidden="false" customHeight="false" outlineLevel="0" collapsed="false">
      <c r="A104" s="12"/>
      <c r="B104" s="6"/>
      <c r="C104" s="13" t="str">
        <f aca="false">IF(B104="","",IFERROR(INDEX(สินค้า!$B$2:$B$101,MATCH(B104,สินค้า!$A$2:$A$101,0)),"ไม่พบรหัส"))</f>
        <v/>
      </c>
      <c r="D104" s="14" t="str">
        <f aca="false">IF(B104="","",IFERROR(INDEX(สินค้า!$D$2:$D$101,MATCH(B104,สินค้า!$A$2:$A$101,0)),""))</f>
        <v/>
      </c>
      <c r="E104" s="6"/>
      <c r="F104" s="8"/>
      <c r="G104" s="8"/>
      <c r="H104" s="8"/>
      <c r="I104" s="15"/>
      <c r="J104" s="15"/>
      <c r="K104" s="10" t="str">
        <f aca="false">IF(J104&lt;&gt;"",J104,IF(I104="","",I104*IFERROR(INDEX(สินค้า!$G$2:$G$101,MATCH(B104,สินค้า!$A$2:$A$101,0)),0)))</f>
        <v/>
      </c>
      <c r="L104" s="16" t="str">
        <f aca="false">IF(OR(F104="",F104=0,G104=""),"",G104/F104)</f>
        <v/>
      </c>
      <c r="M104" s="16" t="str">
        <f aca="false">IF(OR(G104="",G104=0,H104=""),"",H104/G104)</f>
        <v/>
      </c>
    </row>
    <row r="105" customFormat="false" ht="15" hidden="false" customHeight="false" outlineLevel="0" collapsed="false">
      <c r="A105" s="12"/>
      <c r="B105" s="6"/>
      <c r="C105" s="13" t="str">
        <f aca="false">IF(B105="","",IFERROR(INDEX(สินค้า!$B$2:$B$101,MATCH(B105,สินค้า!$A$2:$A$101,0)),"ไม่พบรหัส"))</f>
        <v/>
      </c>
      <c r="D105" s="14" t="str">
        <f aca="false">IF(B105="","",IFERROR(INDEX(สินค้า!$D$2:$D$101,MATCH(B105,สินค้า!$A$2:$A$101,0)),""))</f>
        <v/>
      </c>
      <c r="E105" s="6"/>
      <c r="F105" s="8"/>
      <c r="G105" s="8"/>
      <c r="H105" s="8"/>
      <c r="I105" s="15"/>
      <c r="J105" s="15"/>
      <c r="K105" s="10" t="str">
        <f aca="false">IF(J105&lt;&gt;"",J105,IF(I105="","",I105*IFERROR(INDEX(สินค้า!$G$2:$G$101,MATCH(B105,สินค้า!$A$2:$A$101,0)),0)))</f>
        <v/>
      </c>
      <c r="L105" s="16" t="str">
        <f aca="false">IF(OR(F105="",F105=0,G105=""),"",G105/F105)</f>
        <v/>
      </c>
      <c r="M105" s="16" t="str">
        <f aca="false">IF(OR(G105="",G105=0,H105=""),"",H105/G105)</f>
        <v/>
      </c>
    </row>
    <row r="106" customFormat="false" ht="15" hidden="false" customHeight="false" outlineLevel="0" collapsed="false">
      <c r="A106" s="12"/>
      <c r="B106" s="6"/>
      <c r="C106" s="13" t="str">
        <f aca="false">IF(B106="","",IFERROR(INDEX(สินค้า!$B$2:$B$101,MATCH(B106,สินค้า!$A$2:$A$101,0)),"ไม่พบรหัส"))</f>
        <v/>
      </c>
      <c r="D106" s="14" t="str">
        <f aca="false">IF(B106="","",IFERROR(INDEX(สินค้า!$D$2:$D$101,MATCH(B106,สินค้า!$A$2:$A$101,0)),""))</f>
        <v/>
      </c>
      <c r="E106" s="6"/>
      <c r="F106" s="8"/>
      <c r="G106" s="8"/>
      <c r="H106" s="8"/>
      <c r="I106" s="15"/>
      <c r="J106" s="15"/>
      <c r="K106" s="10" t="str">
        <f aca="false">IF(J106&lt;&gt;"",J106,IF(I106="","",I106*IFERROR(INDEX(สินค้า!$G$2:$G$101,MATCH(B106,สินค้า!$A$2:$A$101,0)),0)))</f>
        <v/>
      </c>
      <c r="L106" s="16" t="str">
        <f aca="false">IF(OR(F106="",F106=0,G106=""),"",G106/F106)</f>
        <v/>
      </c>
      <c r="M106" s="16" t="str">
        <f aca="false">IF(OR(G106="",G106=0,H106=""),"",H106/G106)</f>
        <v/>
      </c>
    </row>
    <row r="107" customFormat="false" ht="15" hidden="false" customHeight="false" outlineLevel="0" collapsed="false">
      <c r="A107" s="12"/>
      <c r="B107" s="6"/>
      <c r="C107" s="13" t="str">
        <f aca="false">IF(B107="","",IFERROR(INDEX(สินค้า!$B$2:$B$101,MATCH(B107,สินค้า!$A$2:$A$101,0)),"ไม่พบรหัส"))</f>
        <v/>
      </c>
      <c r="D107" s="14" t="str">
        <f aca="false">IF(B107="","",IFERROR(INDEX(สินค้า!$D$2:$D$101,MATCH(B107,สินค้า!$A$2:$A$101,0)),""))</f>
        <v/>
      </c>
      <c r="E107" s="6"/>
      <c r="F107" s="8"/>
      <c r="G107" s="8"/>
      <c r="H107" s="8"/>
      <c r="I107" s="15"/>
      <c r="J107" s="15"/>
      <c r="K107" s="10" t="str">
        <f aca="false">IF(J107&lt;&gt;"",J107,IF(I107="","",I107*IFERROR(INDEX(สินค้า!$G$2:$G$101,MATCH(B107,สินค้า!$A$2:$A$101,0)),0)))</f>
        <v/>
      </c>
      <c r="L107" s="16" t="str">
        <f aca="false">IF(OR(F107="",F107=0,G107=""),"",G107/F107)</f>
        <v/>
      </c>
      <c r="M107" s="16" t="str">
        <f aca="false">IF(OR(G107="",G107=0,H107=""),"",H107/G107)</f>
        <v/>
      </c>
    </row>
    <row r="108" customFormat="false" ht="15" hidden="false" customHeight="false" outlineLevel="0" collapsed="false">
      <c r="A108" s="12"/>
      <c r="B108" s="6"/>
      <c r="C108" s="13" t="str">
        <f aca="false">IF(B108="","",IFERROR(INDEX(สินค้า!$B$2:$B$101,MATCH(B108,สินค้า!$A$2:$A$101,0)),"ไม่พบรหัส"))</f>
        <v/>
      </c>
      <c r="D108" s="14" t="str">
        <f aca="false">IF(B108="","",IFERROR(INDEX(สินค้า!$D$2:$D$101,MATCH(B108,สินค้า!$A$2:$A$101,0)),""))</f>
        <v/>
      </c>
      <c r="E108" s="6"/>
      <c r="F108" s="8"/>
      <c r="G108" s="8"/>
      <c r="H108" s="8"/>
      <c r="I108" s="15"/>
      <c r="J108" s="15"/>
      <c r="K108" s="10" t="str">
        <f aca="false">IF(J108&lt;&gt;"",J108,IF(I108="","",I108*IFERROR(INDEX(สินค้า!$G$2:$G$101,MATCH(B108,สินค้า!$A$2:$A$101,0)),0)))</f>
        <v/>
      </c>
      <c r="L108" s="16" t="str">
        <f aca="false">IF(OR(F108="",F108=0,G108=""),"",G108/F108)</f>
        <v/>
      </c>
      <c r="M108" s="16" t="str">
        <f aca="false">IF(OR(G108="",G108=0,H108=""),"",H108/G108)</f>
        <v/>
      </c>
    </row>
    <row r="109" customFormat="false" ht="15" hidden="false" customHeight="false" outlineLevel="0" collapsed="false">
      <c r="A109" s="12"/>
      <c r="B109" s="6"/>
      <c r="C109" s="13" t="str">
        <f aca="false">IF(B109="","",IFERROR(INDEX(สินค้า!$B$2:$B$101,MATCH(B109,สินค้า!$A$2:$A$101,0)),"ไม่พบรหัส"))</f>
        <v/>
      </c>
      <c r="D109" s="14" t="str">
        <f aca="false">IF(B109="","",IFERROR(INDEX(สินค้า!$D$2:$D$101,MATCH(B109,สินค้า!$A$2:$A$101,0)),""))</f>
        <v/>
      </c>
      <c r="E109" s="6"/>
      <c r="F109" s="8"/>
      <c r="G109" s="8"/>
      <c r="H109" s="8"/>
      <c r="I109" s="15"/>
      <c r="J109" s="15"/>
      <c r="K109" s="10" t="str">
        <f aca="false">IF(J109&lt;&gt;"",J109,IF(I109="","",I109*IFERROR(INDEX(สินค้า!$G$2:$G$101,MATCH(B109,สินค้า!$A$2:$A$101,0)),0)))</f>
        <v/>
      </c>
      <c r="L109" s="16" t="str">
        <f aca="false">IF(OR(F109="",F109=0,G109=""),"",G109/F109)</f>
        <v/>
      </c>
      <c r="M109" s="16" t="str">
        <f aca="false">IF(OR(G109="",G109=0,H109=""),"",H109/G109)</f>
        <v/>
      </c>
    </row>
    <row r="110" customFormat="false" ht="15" hidden="false" customHeight="false" outlineLevel="0" collapsed="false">
      <c r="A110" s="12"/>
      <c r="B110" s="6"/>
      <c r="C110" s="13" t="str">
        <f aca="false">IF(B110="","",IFERROR(INDEX(สินค้า!$B$2:$B$101,MATCH(B110,สินค้า!$A$2:$A$101,0)),"ไม่พบรหัส"))</f>
        <v/>
      </c>
      <c r="D110" s="14" t="str">
        <f aca="false">IF(B110="","",IFERROR(INDEX(สินค้า!$D$2:$D$101,MATCH(B110,สินค้า!$A$2:$A$101,0)),""))</f>
        <v/>
      </c>
      <c r="E110" s="6"/>
      <c r="F110" s="8"/>
      <c r="G110" s="8"/>
      <c r="H110" s="8"/>
      <c r="I110" s="15"/>
      <c r="J110" s="15"/>
      <c r="K110" s="10" t="str">
        <f aca="false">IF(J110&lt;&gt;"",J110,IF(I110="","",I110*IFERROR(INDEX(สินค้า!$G$2:$G$101,MATCH(B110,สินค้า!$A$2:$A$101,0)),0)))</f>
        <v/>
      </c>
      <c r="L110" s="16" t="str">
        <f aca="false">IF(OR(F110="",F110=0,G110=""),"",G110/F110)</f>
        <v/>
      </c>
      <c r="M110" s="16" t="str">
        <f aca="false">IF(OR(G110="",G110=0,H110=""),"",H110/G110)</f>
        <v/>
      </c>
    </row>
    <row r="111" customFormat="false" ht="15" hidden="false" customHeight="false" outlineLevel="0" collapsed="false">
      <c r="A111" s="12"/>
      <c r="B111" s="6"/>
      <c r="C111" s="13" t="str">
        <f aca="false">IF(B111="","",IFERROR(INDEX(สินค้า!$B$2:$B$101,MATCH(B111,สินค้า!$A$2:$A$101,0)),"ไม่พบรหัส"))</f>
        <v/>
      </c>
      <c r="D111" s="14" t="str">
        <f aca="false">IF(B111="","",IFERROR(INDEX(สินค้า!$D$2:$D$101,MATCH(B111,สินค้า!$A$2:$A$101,0)),""))</f>
        <v/>
      </c>
      <c r="E111" s="6"/>
      <c r="F111" s="8"/>
      <c r="G111" s="8"/>
      <c r="H111" s="8"/>
      <c r="I111" s="15"/>
      <c r="J111" s="15"/>
      <c r="K111" s="10" t="str">
        <f aca="false">IF(J111&lt;&gt;"",J111,IF(I111="","",I111*IFERROR(INDEX(สินค้า!$G$2:$G$101,MATCH(B111,สินค้า!$A$2:$A$101,0)),0)))</f>
        <v/>
      </c>
      <c r="L111" s="16" t="str">
        <f aca="false">IF(OR(F111="",F111=0,G111=""),"",G111/F111)</f>
        <v/>
      </c>
      <c r="M111" s="16" t="str">
        <f aca="false">IF(OR(G111="",G111=0,H111=""),"",H111/G111)</f>
        <v/>
      </c>
    </row>
    <row r="112" customFormat="false" ht="15" hidden="false" customHeight="false" outlineLevel="0" collapsed="false">
      <c r="A112" s="12"/>
      <c r="B112" s="6"/>
      <c r="C112" s="13" t="str">
        <f aca="false">IF(B112="","",IFERROR(INDEX(สินค้า!$B$2:$B$101,MATCH(B112,สินค้า!$A$2:$A$101,0)),"ไม่พบรหัส"))</f>
        <v/>
      </c>
      <c r="D112" s="14" t="str">
        <f aca="false">IF(B112="","",IFERROR(INDEX(สินค้า!$D$2:$D$101,MATCH(B112,สินค้า!$A$2:$A$101,0)),""))</f>
        <v/>
      </c>
      <c r="E112" s="6"/>
      <c r="F112" s="8"/>
      <c r="G112" s="8"/>
      <c r="H112" s="8"/>
      <c r="I112" s="15"/>
      <c r="J112" s="15"/>
      <c r="K112" s="10" t="str">
        <f aca="false">IF(J112&lt;&gt;"",J112,IF(I112="","",I112*IFERROR(INDEX(สินค้า!$G$2:$G$101,MATCH(B112,สินค้า!$A$2:$A$101,0)),0)))</f>
        <v/>
      </c>
      <c r="L112" s="16" t="str">
        <f aca="false">IF(OR(F112="",F112=0,G112=""),"",G112/F112)</f>
        <v/>
      </c>
      <c r="M112" s="16" t="str">
        <f aca="false">IF(OR(G112="",G112=0,H112=""),"",H112/G112)</f>
        <v/>
      </c>
    </row>
    <row r="113" customFormat="false" ht="15" hidden="false" customHeight="false" outlineLevel="0" collapsed="false">
      <c r="A113" s="12"/>
      <c r="B113" s="6"/>
      <c r="C113" s="13" t="str">
        <f aca="false">IF(B113="","",IFERROR(INDEX(สินค้า!$B$2:$B$101,MATCH(B113,สินค้า!$A$2:$A$101,0)),"ไม่พบรหัส"))</f>
        <v/>
      </c>
      <c r="D113" s="14" t="str">
        <f aca="false">IF(B113="","",IFERROR(INDEX(สินค้า!$D$2:$D$101,MATCH(B113,สินค้า!$A$2:$A$101,0)),""))</f>
        <v/>
      </c>
      <c r="E113" s="6"/>
      <c r="F113" s="8"/>
      <c r="G113" s="8"/>
      <c r="H113" s="8"/>
      <c r="I113" s="15"/>
      <c r="J113" s="15"/>
      <c r="K113" s="10" t="str">
        <f aca="false">IF(J113&lt;&gt;"",J113,IF(I113="","",I113*IFERROR(INDEX(สินค้า!$G$2:$G$101,MATCH(B113,สินค้า!$A$2:$A$101,0)),0)))</f>
        <v/>
      </c>
      <c r="L113" s="16" t="str">
        <f aca="false">IF(OR(F113="",F113=0,G113=""),"",G113/F113)</f>
        <v/>
      </c>
      <c r="M113" s="16" t="str">
        <f aca="false">IF(OR(G113="",G113=0,H113=""),"",H113/G113)</f>
        <v/>
      </c>
    </row>
    <row r="114" customFormat="false" ht="15" hidden="false" customHeight="false" outlineLevel="0" collapsed="false">
      <c r="A114" s="12"/>
      <c r="B114" s="6"/>
      <c r="C114" s="13" t="str">
        <f aca="false">IF(B114="","",IFERROR(INDEX(สินค้า!$B$2:$B$101,MATCH(B114,สินค้า!$A$2:$A$101,0)),"ไม่พบรหัส"))</f>
        <v/>
      </c>
      <c r="D114" s="14" t="str">
        <f aca="false">IF(B114="","",IFERROR(INDEX(สินค้า!$D$2:$D$101,MATCH(B114,สินค้า!$A$2:$A$101,0)),""))</f>
        <v/>
      </c>
      <c r="E114" s="6"/>
      <c r="F114" s="8"/>
      <c r="G114" s="8"/>
      <c r="H114" s="8"/>
      <c r="I114" s="15"/>
      <c r="J114" s="15"/>
      <c r="K114" s="10" t="str">
        <f aca="false">IF(J114&lt;&gt;"",J114,IF(I114="","",I114*IFERROR(INDEX(สินค้า!$G$2:$G$101,MATCH(B114,สินค้า!$A$2:$A$101,0)),0)))</f>
        <v/>
      </c>
      <c r="L114" s="16" t="str">
        <f aca="false">IF(OR(F114="",F114=0,G114=""),"",G114/F114)</f>
        <v/>
      </c>
      <c r="M114" s="16" t="str">
        <f aca="false">IF(OR(G114="",G114=0,H114=""),"",H114/G114)</f>
        <v/>
      </c>
    </row>
    <row r="115" customFormat="false" ht="15" hidden="false" customHeight="false" outlineLevel="0" collapsed="false">
      <c r="A115" s="12"/>
      <c r="B115" s="6"/>
      <c r="C115" s="13" t="str">
        <f aca="false">IF(B115="","",IFERROR(INDEX(สินค้า!$B$2:$B$101,MATCH(B115,สินค้า!$A$2:$A$101,0)),"ไม่พบรหัส"))</f>
        <v/>
      </c>
      <c r="D115" s="14" t="str">
        <f aca="false">IF(B115="","",IFERROR(INDEX(สินค้า!$D$2:$D$101,MATCH(B115,สินค้า!$A$2:$A$101,0)),""))</f>
        <v/>
      </c>
      <c r="E115" s="6"/>
      <c r="F115" s="8"/>
      <c r="G115" s="8"/>
      <c r="H115" s="8"/>
      <c r="I115" s="15"/>
      <c r="J115" s="15"/>
      <c r="K115" s="10" t="str">
        <f aca="false">IF(J115&lt;&gt;"",J115,IF(I115="","",I115*IFERROR(INDEX(สินค้า!$G$2:$G$101,MATCH(B115,สินค้า!$A$2:$A$101,0)),0)))</f>
        <v/>
      </c>
      <c r="L115" s="16" t="str">
        <f aca="false">IF(OR(F115="",F115=0,G115=""),"",G115/F115)</f>
        <v/>
      </c>
      <c r="M115" s="16" t="str">
        <f aca="false">IF(OR(G115="",G115=0,H115=""),"",H115/G115)</f>
        <v/>
      </c>
    </row>
    <row r="116" customFormat="false" ht="15" hidden="false" customHeight="false" outlineLevel="0" collapsed="false">
      <c r="A116" s="12"/>
      <c r="B116" s="6"/>
      <c r="C116" s="13" t="str">
        <f aca="false">IF(B116="","",IFERROR(INDEX(สินค้า!$B$2:$B$101,MATCH(B116,สินค้า!$A$2:$A$101,0)),"ไม่พบรหัส"))</f>
        <v/>
      </c>
      <c r="D116" s="14" t="str">
        <f aca="false">IF(B116="","",IFERROR(INDEX(สินค้า!$D$2:$D$101,MATCH(B116,สินค้า!$A$2:$A$101,0)),""))</f>
        <v/>
      </c>
      <c r="E116" s="6"/>
      <c r="F116" s="8"/>
      <c r="G116" s="8"/>
      <c r="H116" s="8"/>
      <c r="I116" s="15"/>
      <c r="J116" s="15"/>
      <c r="K116" s="10" t="str">
        <f aca="false">IF(J116&lt;&gt;"",J116,IF(I116="","",I116*IFERROR(INDEX(สินค้า!$G$2:$G$101,MATCH(B116,สินค้า!$A$2:$A$101,0)),0)))</f>
        <v/>
      </c>
      <c r="L116" s="16" t="str">
        <f aca="false">IF(OR(F116="",F116=0,G116=""),"",G116/F116)</f>
        <v/>
      </c>
      <c r="M116" s="16" t="str">
        <f aca="false">IF(OR(G116="",G116=0,H116=""),"",H116/G116)</f>
        <v/>
      </c>
    </row>
    <row r="117" customFormat="false" ht="15" hidden="false" customHeight="false" outlineLevel="0" collapsed="false">
      <c r="A117" s="12"/>
      <c r="B117" s="6"/>
      <c r="C117" s="13" t="str">
        <f aca="false">IF(B117="","",IFERROR(INDEX(สินค้า!$B$2:$B$101,MATCH(B117,สินค้า!$A$2:$A$101,0)),"ไม่พบรหัส"))</f>
        <v/>
      </c>
      <c r="D117" s="14" t="str">
        <f aca="false">IF(B117="","",IFERROR(INDEX(สินค้า!$D$2:$D$101,MATCH(B117,สินค้า!$A$2:$A$101,0)),""))</f>
        <v/>
      </c>
      <c r="E117" s="6"/>
      <c r="F117" s="8"/>
      <c r="G117" s="8"/>
      <c r="H117" s="8"/>
      <c r="I117" s="15"/>
      <c r="J117" s="15"/>
      <c r="K117" s="10" t="str">
        <f aca="false">IF(J117&lt;&gt;"",J117,IF(I117="","",I117*IFERROR(INDEX(สินค้า!$G$2:$G$101,MATCH(B117,สินค้า!$A$2:$A$101,0)),0)))</f>
        <v/>
      </c>
      <c r="L117" s="16" t="str">
        <f aca="false">IF(OR(F117="",F117=0,G117=""),"",G117/F117)</f>
        <v/>
      </c>
      <c r="M117" s="16" t="str">
        <f aca="false">IF(OR(G117="",G117=0,H117=""),"",H117/G117)</f>
        <v/>
      </c>
    </row>
    <row r="118" customFormat="false" ht="15" hidden="false" customHeight="false" outlineLevel="0" collapsed="false">
      <c r="A118" s="12"/>
      <c r="B118" s="6"/>
      <c r="C118" s="13" t="str">
        <f aca="false">IF(B118="","",IFERROR(INDEX(สินค้า!$B$2:$B$101,MATCH(B118,สินค้า!$A$2:$A$101,0)),"ไม่พบรหัส"))</f>
        <v/>
      </c>
      <c r="D118" s="14" t="str">
        <f aca="false">IF(B118="","",IFERROR(INDEX(สินค้า!$D$2:$D$101,MATCH(B118,สินค้า!$A$2:$A$101,0)),""))</f>
        <v/>
      </c>
      <c r="E118" s="6"/>
      <c r="F118" s="8"/>
      <c r="G118" s="8"/>
      <c r="H118" s="8"/>
      <c r="I118" s="15"/>
      <c r="J118" s="15"/>
      <c r="K118" s="10" t="str">
        <f aca="false">IF(J118&lt;&gt;"",J118,IF(I118="","",I118*IFERROR(INDEX(สินค้า!$G$2:$G$101,MATCH(B118,สินค้า!$A$2:$A$101,0)),0)))</f>
        <v/>
      </c>
      <c r="L118" s="16" t="str">
        <f aca="false">IF(OR(F118="",F118=0,G118=""),"",G118/F118)</f>
        <v/>
      </c>
      <c r="M118" s="16" t="str">
        <f aca="false">IF(OR(G118="",G118=0,H118=""),"",H118/G118)</f>
        <v/>
      </c>
    </row>
    <row r="119" customFormat="false" ht="15" hidden="false" customHeight="false" outlineLevel="0" collapsed="false">
      <c r="A119" s="12"/>
      <c r="B119" s="6"/>
      <c r="C119" s="13" t="str">
        <f aca="false">IF(B119="","",IFERROR(INDEX(สินค้า!$B$2:$B$101,MATCH(B119,สินค้า!$A$2:$A$101,0)),"ไม่พบรหัส"))</f>
        <v/>
      </c>
      <c r="D119" s="14" t="str">
        <f aca="false">IF(B119="","",IFERROR(INDEX(สินค้า!$D$2:$D$101,MATCH(B119,สินค้า!$A$2:$A$101,0)),""))</f>
        <v/>
      </c>
      <c r="E119" s="6"/>
      <c r="F119" s="8"/>
      <c r="G119" s="8"/>
      <c r="H119" s="8"/>
      <c r="I119" s="15"/>
      <c r="J119" s="15"/>
      <c r="K119" s="10" t="str">
        <f aca="false">IF(J119&lt;&gt;"",J119,IF(I119="","",I119*IFERROR(INDEX(สินค้า!$G$2:$G$101,MATCH(B119,สินค้า!$A$2:$A$101,0)),0)))</f>
        <v/>
      </c>
      <c r="L119" s="16" t="str">
        <f aca="false">IF(OR(F119="",F119=0,G119=""),"",G119/F119)</f>
        <v/>
      </c>
      <c r="M119" s="16" t="str">
        <f aca="false">IF(OR(G119="",G119=0,H119=""),"",H119/G119)</f>
        <v/>
      </c>
    </row>
    <row r="120" customFormat="false" ht="15" hidden="false" customHeight="false" outlineLevel="0" collapsed="false">
      <c r="A120" s="12"/>
      <c r="B120" s="6"/>
      <c r="C120" s="13" t="str">
        <f aca="false">IF(B120="","",IFERROR(INDEX(สินค้า!$B$2:$B$101,MATCH(B120,สินค้า!$A$2:$A$101,0)),"ไม่พบรหัส"))</f>
        <v/>
      </c>
      <c r="D120" s="14" t="str">
        <f aca="false">IF(B120="","",IFERROR(INDEX(สินค้า!$D$2:$D$101,MATCH(B120,สินค้า!$A$2:$A$101,0)),""))</f>
        <v/>
      </c>
      <c r="E120" s="6"/>
      <c r="F120" s="8"/>
      <c r="G120" s="8"/>
      <c r="H120" s="8"/>
      <c r="I120" s="15"/>
      <c r="J120" s="15"/>
      <c r="K120" s="10" t="str">
        <f aca="false">IF(J120&lt;&gt;"",J120,IF(I120="","",I120*IFERROR(INDEX(สินค้า!$G$2:$G$101,MATCH(B120,สินค้า!$A$2:$A$101,0)),0)))</f>
        <v/>
      </c>
      <c r="L120" s="16" t="str">
        <f aca="false">IF(OR(F120="",F120=0,G120=""),"",G120/F120)</f>
        <v/>
      </c>
      <c r="M120" s="16" t="str">
        <f aca="false">IF(OR(G120="",G120=0,H120=""),"",H120/G120)</f>
        <v/>
      </c>
    </row>
    <row r="121" customFormat="false" ht="15" hidden="false" customHeight="false" outlineLevel="0" collapsed="false">
      <c r="A121" s="12"/>
      <c r="B121" s="6"/>
      <c r="C121" s="13" t="str">
        <f aca="false">IF(B121="","",IFERROR(INDEX(สินค้า!$B$2:$B$101,MATCH(B121,สินค้า!$A$2:$A$101,0)),"ไม่พบรหัส"))</f>
        <v/>
      </c>
      <c r="D121" s="14" t="str">
        <f aca="false">IF(B121="","",IFERROR(INDEX(สินค้า!$D$2:$D$101,MATCH(B121,สินค้า!$A$2:$A$101,0)),""))</f>
        <v/>
      </c>
      <c r="E121" s="6"/>
      <c r="F121" s="8"/>
      <c r="G121" s="8"/>
      <c r="H121" s="8"/>
      <c r="I121" s="15"/>
      <c r="J121" s="15"/>
      <c r="K121" s="10" t="str">
        <f aca="false">IF(J121&lt;&gt;"",J121,IF(I121="","",I121*IFERROR(INDEX(สินค้า!$G$2:$G$101,MATCH(B121,สินค้า!$A$2:$A$101,0)),0)))</f>
        <v/>
      </c>
      <c r="L121" s="16" t="str">
        <f aca="false">IF(OR(F121="",F121=0,G121=""),"",G121/F121)</f>
        <v/>
      </c>
      <c r="M121" s="16" t="str">
        <f aca="false">IF(OR(G121="",G121=0,H121=""),"",H121/G121)</f>
        <v/>
      </c>
    </row>
    <row r="122" customFormat="false" ht="15" hidden="false" customHeight="false" outlineLevel="0" collapsed="false">
      <c r="A122" s="12"/>
      <c r="B122" s="6"/>
      <c r="C122" s="13" t="str">
        <f aca="false">IF(B122="","",IFERROR(INDEX(สินค้า!$B$2:$B$101,MATCH(B122,สินค้า!$A$2:$A$101,0)),"ไม่พบรหัส"))</f>
        <v/>
      </c>
      <c r="D122" s="14" t="str">
        <f aca="false">IF(B122="","",IFERROR(INDEX(สินค้า!$D$2:$D$101,MATCH(B122,สินค้า!$A$2:$A$101,0)),""))</f>
        <v/>
      </c>
      <c r="E122" s="6"/>
      <c r="F122" s="8"/>
      <c r="G122" s="8"/>
      <c r="H122" s="8"/>
      <c r="I122" s="15"/>
      <c r="J122" s="15"/>
      <c r="K122" s="10" t="str">
        <f aca="false">IF(J122&lt;&gt;"",J122,IF(I122="","",I122*IFERROR(INDEX(สินค้า!$G$2:$G$101,MATCH(B122,สินค้า!$A$2:$A$101,0)),0)))</f>
        <v/>
      </c>
      <c r="L122" s="16" t="str">
        <f aca="false">IF(OR(F122="",F122=0,G122=""),"",G122/F122)</f>
        <v/>
      </c>
      <c r="M122" s="16" t="str">
        <f aca="false">IF(OR(G122="",G122=0,H122=""),"",H122/G122)</f>
        <v/>
      </c>
    </row>
    <row r="123" customFormat="false" ht="15" hidden="false" customHeight="false" outlineLevel="0" collapsed="false">
      <c r="A123" s="12"/>
      <c r="B123" s="6"/>
      <c r="C123" s="13" t="str">
        <f aca="false">IF(B123="","",IFERROR(INDEX(สินค้า!$B$2:$B$101,MATCH(B123,สินค้า!$A$2:$A$101,0)),"ไม่พบรหัส"))</f>
        <v/>
      </c>
      <c r="D123" s="14" t="str">
        <f aca="false">IF(B123="","",IFERROR(INDEX(สินค้า!$D$2:$D$101,MATCH(B123,สินค้า!$A$2:$A$101,0)),""))</f>
        <v/>
      </c>
      <c r="E123" s="6"/>
      <c r="F123" s="8"/>
      <c r="G123" s="8"/>
      <c r="H123" s="8"/>
      <c r="I123" s="15"/>
      <c r="J123" s="15"/>
      <c r="K123" s="10" t="str">
        <f aca="false">IF(J123&lt;&gt;"",J123,IF(I123="","",I123*IFERROR(INDEX(สินค้า!$G$2:$G$101,MATCH(B123,สินค้า!$A$2:$A$101,0)),0)))</f>
        <v/>
      </c>
      <c r="L123" s="16" t="str">
        <f aca="false">IF(OR(F123="",F123=0,G123=""),"",G123/F123)</f>
        <v/>
      </c>
      <c r="M123" s="16" t="str">
        <f aca="false">IF(OR(G123="",G123=0,H123=""),"",H123/G123)</f>
        <v/>
      </c>
    </row>
    <row r="124" customFormat="false" ht="15" hidden="false" customHeight="false" outlineLevel="0" collapsed="false">
      <c r="A124" s="12"/>
      <c r="B124" s="6"/>
      <c r="C124" s="13" t="str">
        <f aca="false">IF(B124="","",IFERROR(INDEX(สินค้า!$B$2:$B$101,MATCH(B124,สินค้า!$A$2:$A$101,0)),"ไม่พบรหัส"))</f>
        <v/>
      </c>
      <c r="D124" s="14" t="str">
        <f aca="false">IF(B124="","",IFERROR(INDEX(สินค้า!$D$2:$D$101,MATCH(B124,สินค้า!$A$2:$A$101,0)),""))</f>
        <v/>
      </c>
      <c r="E124" s="6"/>
      <c r="F124" s="8"/>
      <c r="G124" s="8"/>
      <c r="H124" s="8"/>
      <c r="I124" s="15"/>
      <c r="J124" s="15"/>
      <c r="K124" s="10" t="str">
        <f aca="false">IF(J124&lt;&gt;"",J124,IF(I124="","",I124*IFERROR(INDEX(สินค้า!$G$2:$G$101,MATCH(B124,สินค้า!$A$2:$A$101,0)),0)))</f>
        <v/>
      </c>
      <c r="L124" s="16" t="str">
        <f aca="false">IF(OR(F124="",F124=0,G124=""),"",G124/F124)</f>
        <v/>
      </c>
      <c r="M124" s="16" t="str">
        <f aca="false">IF(OR(G124="",G124=0,H124=""),"",H124/G124)</f>
        <v/>
      </c>
    </row>
    <row r="125" customFormat="false" ht="15" hidden="false" customHeight="false" outlineLevel="0" collapsed="false">
      <c r="A125" s="12"/>
      <c r="B125" s="6"/>
      <c r="C125" s="13" t="str">
        <f aca="false">IF(B125="","",IFERROR(INDEX(สินค้า!$B$2:$B$101,MATCH(B125,สินค้า!$A$2:$A$101,0)),"ไม่พบรหัส"))</f>
        <v/>
      </c>
      <c r="D125" s="14" t="str">
        <f aca="false">IF(B125="","",IFERROR(INDEX(สินค้า!$D$2:$D$101,MATCH(B125,สินค้า!$A$2:$A$101,0)),""))</f>
        <v/>
      </c>
      <c r="E125" s="6"/>
      <c r="F125" s="8"/>
      <c r="G125" s="8"/>
      <c r="H125" s="8"/>
      <c r="I125" s="15"/>
      <c r="J125" s="15"/>
      <c r="K125" s="10" t="str">
        <f aca="false">IF(J125&lt;&gt;"",J125,IF(I125="","",I125*IFERROR(INDEX(สินค้า!$G$2:$G$101,MATCH(B125,สินค้า!$A$2:$A$101,0)),0)))</f>
        <v/>
      </c>
      <c r="L125" s="16" t="str">
        <f aca="false">IF(OR(F125="",F125=0,G125=""),"",G125/F125)</f>
        <v/>
      </c>
      <c r="M125" s="16" t="str">
        <f aca="false">IF(OR(G125="",G125=0,H125=""),"",H125/G125)</f>
        <v/>
      </c>
    </row>
    <row r="126" customFormat="false" ht="15" hidden="false" customHeight="false" outlineLevel="0" collapsed="false">
      <c r="A126" s="12"/>
      <c r="B126" s="6"/>
      <c r="C126" s="13" t="str">
        <f aca="false">IF(B126="","",IFERROR(INDEX(สินค้า!$B$2:$B$101,MATCH(B126,สินค้า!$A$2:$A$101,0)),"ไม่พบรหัส"))</f>
        <v/>
      </c>
      <c r="D126" s="14" t="str">
        <f aca="false">IF(B126="","",IFERROR(INDEX(สินค้า!$D$2:$D$101,MATCH(B126,สินค้า!$A$2:$A$101,0)),""))</f>
        <v/>
      </c>
      <c r="E126" s="6"/>
      <c r="F126" s="8"/>
      <c r="G126" s="8"/>
      <c r="H126" s="8"/>
      <c r="I126" s="15"/>
      <c r="J126" s="15"/>
      <c r="K126" s="10" t="str">
        <f aca="false">IF(J126&lt;&gt;"",J126,IF(I126="","",I126*IFERROR(INDEX(สินค้า!$G$2:$G$101,MATCH(B126,สินค้า!$A$2:$A$101,0)),0)))</f>
        <v/>
      </c>
      <c r="L126" s="16" t="str">
        <f aca="false">IF(OR(F126="",F126=0,G126=""),"",G126/F126)</f>
        <v/>
      </c>
      <c r="M126" s="16" t="str">
        <f aca="false">IF(OR(G126="",G126=0,H126=""),"",H126/G126)</f>
        <v/>
      </c>
    </row>
    <row r="127" customFormat="false" ht="15" hidden="false" customHeight="false" outlineLevel="0" collapsed="false">
      <c r="A127" s="12"/>
      <c r="B127" s="6"/>
      <c r="C127" s="13" t="str">
        <f aca="false">IF(B127="","",IFERROR(INDEX(สินค้า!$B$2:$B$101,MATCH(B127,สินค้า!$A$2:$A$101,0)),"ไม่พบรหัส"))</f>
        <v/>
      </c>
      <c r="D127" s="14" t="str">
        <f aca="false">IF(B127="","",IFERROR(INDEX(สินค้า!$D$2:$D$101,MATCH(B127,สินค้า!$A$2:$A$101,0)),""))</f>
        <v/>
      </c>
      <c r="E127" s="6"/>
      <c r="F127" s="8"/>
      <c r="G127" s="8"/>
      <c r="H127" s="8"/>
      <c r="I127" s="15"/>
      <c r="J127" s="15"/>
      <c r="K127" s="10" t="str">
        <f aca="false">IF(J127&lt;&gt;"",J127,IF(I127="","",I127*IFERROR(INDEX(สินค้า!$G$2:$G$101,MATCH(B127,สินค้า!$A$2:$A$101,0)),0)))</f>
        <v/>
      </c>
      <c r="L127" s="16" t="str">
        <f aca="false">IF(OR(F127="",F127=0,G127=""),"",G127/F127)</f>
        <v/>
      </c>
      <c r="M127" s="16" t="str">
        <f aca="false">IF(OR(G127="",G127=0,H127=""),"",H127/G127)</f>
        <v/>
      </c>
    </row>
    <row r="128" customFormat="false" ht="15" hidden="false" customHeight="false" outlineLevel="0" collapsed="false">
      <c r="A128" s="12"/>
      <c r="B128" s="6"/>
      <c r="C128" s="13" t="str">
        <f aca="false">IF(B128="","",IFERROR(INDEX(สินค้า!$B$2:$B$101,MATCH(B128,สินค้า!$A$2:$A$101,0)),"ไม่พบรหัส"))</f>
        <v/>
      </c>
      <c r="D128" s="14" t="str">
        <f aca="false">IF(B128="","",IFERROR(INDEX(สินค้า!$D$2:$D$101,MATCH(B128,สินค้า!$A$2:$A$101,0)),""))</f>
        <v/>
      </c>
      <c r="E128" s="6"/>
      <c r="F128" s="8"/>
      <c r="G128" s="8"/>
      <c r="H128" s="8"/>
      <c r="I128" s="15"/>
      <c r="J128" s="15"/>
      <c r="K128" s="10" t="str">
        <f aca="false">IF(J128&lt;&gt;"",J128,IF(I128="","",I128*IFERROR(INDEX(สินค้า!$G$2:$G$101,MATCH(B128,สินค้า!$A$2:$A$101,0)),0)))</f>
        <v/>
      </c>
      <c r="L128" s="16" t="str">
        <f aca="false">IF(OR(F128="",F128=0,G128=""),"",G128/F128)</f>
        <v/>
      </c>
      <c r="M128" s="16" t="str">
        <f aca="false">IF(OR(G128="",G128=0,H128=""),"",H128/G128)</f>
        <v/>
      </c>
    </row>
    <row r="129" customFormat="false" ht="15" hidden="false" customHeight="false" outlineLevel="0" collapsed="false">
      <c r="A129" s="12"/>
      <c r="B129" s="6"/>
      <c r="C129" s="13" t="str">
        <f aca="false">IF(B129="","",IFERROR(INDEX(สินค้า!$B$2:$B$101,MATCH(B129,สินค้า!$A$2:$A$101,0)),"ไม่พบรหัส"))</f>
        <v/>
      </c>
      <c r="D129" s="14" t="str">
        <f aca="false">IF(B129="","",IFERROR(INDEX(สินค้า!$D$2:$D$101,MATCH(B129,สินค้า!$A$2:$A$101,0)),""))</f>
        <v/>
      </c>
      <c r="E129" s="6"/>
      <c r="F129" s="8"/>
      <c r="G129" s="8"/>
      <c r="H129" s="8"/>
      <c r="I129" s="15"/>
      <c r="J129" s="15"/>
      <c r="K129" s="10" t="str">
        <f aca="false">IF(J129&lt;&gt;"",J129,IF(I129="","",I129*IFERROR(INDEX(สินค้า!$G$2:$G$101,MATCH(B129,สินค้า!$A$2:$A$101,0)),0)))</f>
        <v/>
      </c>
      <c r="L129" s="16" t="str">
        <f aca="false">IF(OR(F129="",F129=0,G129=""),"",G129/F129)</f>
        <v/>
      </c>
      <c r="M129" s="16" t="str">
        <f aca="false">IF(OR(G129="",G129=0,H129=""),"",H129/G129)</f>
        <v/>
      </c>
    </row>
    <row r="130" customFormat="false" ht="15" hidden="false" customHeight="false" outlineLevel="0" collapsed="false">
      <c r="A130" s="12"/>
      <c r="B130" s="6"/>
      <c r="C130" s="13" t="str">
        <f aca="false">IF(B130="","",IFERROR(INDEX(สินค้า!$B$2:$B$101,MATCH(B130,สินค้า!$A$2:$A$101,0)),"ไม่พบรหัส"))</f>
        <v/>
      </c>
      <c r="D130" s="14" t="str">
        <f aca="false">IF(B130="","",IFERROR(INDEX(สินค้า!$D$2:$D$101,MATCH(B130,สินค้า!$A$2:$A$101,0)),""))</f>
        <v/>
      </c>
      <c r="E130" s="6"/>
      <c r="F130" s="8"/>
      <c r="G130" s="8"/>
      <c r="H130" s="8"/>
      <c r="I130" s="15"/>
      <c r="J130" s="15"/>
      <c r="K130" s="10" t="str">
        <f aca="false">IF(J130&lt;&gt;"",J130,IF(I130="","",I130*IFERROR(INDEX(สินค้า!$G$2:$G$101,MATCH(B130,สินค้า!$A$2:$A$101,0)),0)))</f>
        <v/>
      </c>
      <c r="L130" s="16" t="str">
        <f aca="false">IF(OR(F130="",F130=0,G130=""),"",G130/F130)</f>
        <v/>
      </c>
      <c r="M130" s="16" t="str">
        <f aca="false">IF(OR(G130="",G130=0,H130=""),"",H130/G130)</f>
        <v/>
      </c>
    </row>
    <row r="131" customFormat="false" ht="15" hidden="false" customHeight="false" outlineLevel="0" collapsed="false">
      <c r="A131" s="12"/>
      <c r="B131" s="6"/>
      <c r="C131" s="13" t="str">
        <f aca="false">IF(B131="","",IFERROR(INDEX(สินค้า!$B$2:$B$101,MATCH(B131,สินค้า!$A$2:$A$101,0)),"ไม่พบรหัส"))</f>
        <v/>
      </c>
      <c r="D131" s="14" t="str">
        <f aca="false">IF(B131="","",IFERROR(INDEX(สินค้า!$D$2:$D$101,MATCH(B131,สินค้า!$A$2:$A$101,0)),""))</f>
        <v/>
      </c>
      <c r="E131" s="6"/>
      <c r="F131" s="8"/>
      <c r="G131" s="8"/>
      <c r="H131" s="8"/>
      <c r="I131" s="15"/>
      <c r="J131" s="15"/>
      <c r="K131" s="10" t="str">
        <f aca="false">IF(J131&lt;&gt;"",J131,IF(I131="","",I131*IFERROR(INDEX(สินค้า!$G$2:$G$101,MATCH(B131,สินค้า!$A$2:$A$101,0)),0)))</f>
        <v/>
      </c>
      <c r="L131" s="16" t="str">
        <f aca="false">IF(OR(F131="",F131=0,G131=""),"",G131/F131)</f>
        <v/>
      </c>
      <c r="M131" s="16" t="str">
        <f aca="false">IF(OR(G131="",G131=0,H131=""),"",H131/G131)</f>
        <v/>
      </c>
    </row>
    <row r="132" customFormat="false" ht="15" hidden="false" customHeight="false" outlineLevel="0" collapsed="false">
      <c r="A132" s="12"/>
      <c r="B132" s="6"/>
      <c r="C132" s="13" t="str">
        <f aca="false">IF(B132="","",IFERROR(INDEX(สินค้า!$B$2:$B$101,MATCH(B132,สินค้า!$A$2:$A$101,0)),"ไม่พบรหัส"))</f>
        <v/>
      </c>
      <c r="D132" s="14" t="str">
        <f aca="false">IF(B132="","",IFERROR(INDEX(สินค้า!$D$2:$D$101,MATCH(B132,สินค้า!$A$2:$A$101,0)),""))</f>
        <v/>
      </c>
      <c r="E132" s="6"/>
      <c r="F132" s="8"/>
      <c r="G132" s="8"/>
      <c r="H132" s="8"/>
      <c r="I132" s="15"/>
      <c r="J132" s="15"/>
      <c r="K132" s="10" t="str">
        <f aca="false">IF(J132&lt;&gt;"",J132,IF(I132="","",I132*IFERROR(INDEX(สินค้า!$G$2:$G$101,MATCH(B132,สินค้า!$A$2:$A$101,0)),0)))</f>
        <v/>
      </c>
      <c r="L132" s="16" t="str">
        <f aca="false">IF(OR(F132="",F132=0,G132=""),"",G132/F132)</f>
        <v/>
      </c>
      <c r="M132" s="16" t="str">
        <f aca="false">IF(OR(G132="",G132=0,H132=""),"",H132/G132)</f>
        <v/>
      </c>
    </row>
    <row r="133" customFormat="false" ht="15" hidden="false" customHeight="false" outlineLevel="0" collapsed="false">
      <c r="A133" s="12"/>
      <c r="B133" s="6"/>
      <c r="C133" s="13" t="str">
        <f aca="false">IF(B133="","",IFERROR(INDEX(สินค้า!$B$2:$B$101,MATCH(B133,สินค้า!$A$2:$A$101,0)),"ไม่พบรหัส"))</f>
        <v/>
      </c>
      <c r="D133" s="14" t="str">
        <f aca="false">IF(B133="","",IFERROR(INDEX(สินค้า!$D$2:$D$101,MATCH(B133,สินค้า!$A$2:$A$101,0)),""))</f>
        <v/>
      </c>
      <c r="E133" s="6"/>
      <c r="F133" s="8"/>
      <c r="G133" s="8"/>
      <c r="H133" s="8"/>
      <c r="I133" s="15"/>
      <c r="J133" s="15"/>
      <c r="K133" s="10" t="str">
        <f aca="false">IF(J133&lt;&gt;"",J133,IF(I133="","",I133*IFERROR(INDEX(สินค้า!$G$2:$G$101,MATCH(B133,สินค้า!$A$2:$A$101,0)),0)))</f>
        <v/>
      </c>
      <c r="L133" s="16" t="str">
        <f aca="false">IF(OR(F133="",F133=0,G133=""),"",G133/F133)</f>
        <v/>
      </c>
      <c r="M133" s="16" t="str">
        <f aca="false">IF(OR(G133="",G133=0,H133=""),"",H133/G133)</f>
        <v/>
      </c>
    </row>
    <row r="134" customFormat="false" ht="15" hidden="false" customHeight="false" outlineLevel="0" collapsed="false">
      <c r="A134" s="12"/>
      <c r="B134" s="6"/>
      <c r="C134" s="13" t="str">
        <f aca="false">IF(B134="","",IFERROR(INDEX(สินค้า!$B$2:$B$101,MATCH(B134,สินค้า!$A$2:$A$101,0)),"ไม่พบรหัส"))</f>
        <v/>
      </c>
      <c r="D134" s="14" t="str">
        <f aca="false">IF(B134="","",IFERROR(INDEX(สินค้า!$D$2:$D$101,MATCH(B134,สินค้า!$A$2:$A$101,0)),""))</f>
        <v/>
      </c>
      <c r="E134" s="6"/>
      <c r="F134" s="8"/>
      <c r="G134" s="8"/>
      <c r="H134" s="8"/>
      <c r="I134" s="15"/>
      <c r="J134" s="15"/>
      <c r="K134" s="10" t="str">
        <f aca="false">IF(J134&lt;&gt;"",J134,IF(I134="","",I134*IFERROR(INDEX(สินค้า!$G$2:$G$101,MATCH(B134,สินค้า!$A$2:$A$101,0)),0)))</f>
        <v/>
      </c>
      <c r="L134" s="16" t="str">
        <f aca="false">IF(OR(F134="",F134=0,G134=""),"",G134/F134)</f>
        <v/>
      </c>
      <c r="M134" s="16" t="str">
        <f aca="false">IF(OR(G134="",G134=0,H134=""),"",H134/G134)</f>
        <v/>
      </c>
    </row>
    <row r="135" customFormat="false" ht="15" hidden="false" customHeight="false" outlineLevel="0" collapsed="false">
      <c r="A135" s="12"/>
      <c r="B135" s="6"/>
      <c r="C135" s="13" t="str">
        <f aca="false">IF(B135="","",IFERROR(INDEX(สินค้า!$B$2:$B$101,MATCH(B135,สินค้า!$A$2:$A$101,0)),"ไม่พบรหัส"))</f>
        <v/>
      </c>
      <c r="D135" s="14" t="str">
        <f aca="false">IF(B135="","",IFERROR(INDEX(สินค้า!$D$2:$D$101,MATCH(B135,สินค้า!$A$2:$A$101,0)),""))</f>
        <v/>
      </c>
      <c r="E135" s="6"/>
      <c r="F135" s="8"/>
      <c r="G135" s="8"/>
      <c r="H135" s="8"/>
      <c r="I135" s="15"/>
      <c r="J135" s="15"/>
      <c r="K135" s="10" t="str">
        <f aca="false">IF(J135&lt;&gt;"",J135,IF(I135="","",I135*IFERROR(INDEX(สินค้า!$G$2:$G$101,MATCH(B135,สินค้า!$A$2:$A$101,0)),0)))</f>
        <v/>
      </c>
      <c r="L135" s="16" t="str">
        <f aca="false">IF(OR(F135="",F135=0,G135=""),"",G135/F135)</f>
        <v/>
      </c>
      <c r="M135" s="16" t="str">
        <f aca="false">IF(OR(G135="",G135=0,H135=""),"",H135/G135)</f>
        <v/>
      </c>
    </row>
    <row r="136" customFormat="false" ht="15" hidden="false" customHeight="false" outlineLevel="0" collapsed="false">
      <c r="A136" s="12"/>
      <c r="B136" s="6"/>
      <c r="C136" s="13" t="str">
        <f aca="false">IF(B136="","",IFERROR(INDEX(สินค้า!$B$2:$B$101,MATCH(B136,สินค้า!$A$2:$A$101,0)),"ไม่พบรหัส"))</f>
        <v/>
      </c>
      <c r="D136" s="14" t="str">
        <f aca="false">IF(B136="","",IFERROR(INDEX(สินค้า!$D$2:$D$101,MATCH(B136,สินค้า!$A$2:$A$101,0)),""))</f>
        <v/>
      </c>
      <c r="E136" s="6"/>
      <c r="F136" s="8"/>
      <c r="G136" s="8"/>
      <c r="H136" s="8"/>
      <c r="I136" s="15"/>
      <c r="J136" s="15"/>
      <c r="K136" s="10" t="str">
        <f aca="false">IF(J136&lt;&gt;"",J136,IF(I136="","",I136*IFERROR(INDEX(สินค้า!$G$2:$G$101,MATCH(B136,สินค้า!$A$2:$A$101,0)),0)))</f>
        <v/>
      </c>
      <c r="L136" s="16" t="str">
        <f aca="false">IF(OR(F136="",F136=0,G136=""),"",G136/F136)</f>
        <v/>
      </c>
      <c r="M136" s="16" t="str">
        <f aca="false">IF(OR(G136="",G136=0,H136=""),"",H136/G136)</f>
        <v/>
      </c>
    </row>
    <row r="137" customFormat="false" ht="15" hidden="false" customHeight="false" outlineLevel="0" collapsed="false">
      <c r="A137" s="12"/>
      <c r="B137" s="6"/>
      <c r="C137" s="13" t="str">
        <f aca="false">IF(B137="","",IFERROR(INDEX(สินค้า!$B$2:$B$101,MATCH(B137,สินค้า!$A$2:$A$101,0)),"ไม่พบรหัส"))</f>
        <v/>
      </c>
      <c r="D137" s="14" t="str">
        <f aca="false">IF(B137="","",IFERROR(INDEX(สินค้า!$D$2:$D$101,MATCH(B137,สินค้า!$A$2:$A$101,0)),""))</f>
        <v/>
      </c>
      <c r="E137" s="6"/>
      <c r="F137" s="8"/>
      <c r="G137" s="8"/>
      <c r="H137" s="8"/>
      <c r="I137" s="15"/>
      <c r="J137" s="15"/>
      <c r="K137" s="10" t="str">
        <f aca="false">IF(J137&lt;&gt;"",J137,IF(I137="","",I137*IFERROR(INDEX(สินค้า!$G$2:$G$101,MATCH(B137,สินค้า!$A$2:$A$101,0)),0)))</f>
        <v/>
      </c>
      <c r="L137" s="16" t="str">
        <f aca="false">IF(OR(F137="",F137=0,G137=""),"",G137/F137)</f>
        <v/>
      </c>
      <c r="M137" s="16" t="str">
        <f aca="false">IF(OR(G137="",G137=0,H137=""),"",H137/G137)</f>
        <v/>
      </c>
    </row>
    <row r="138" customFormat="false" ht="15" hidden="false" customHeight="false" outlineLevel="0" collapsed="false">
      <c r="A138" s="12"/>
      <c r="B138" s="6"/>
      <c r="C138" s="13" t="str">
        <f aca="false">IF(B138="","",IFERROR(INDEX(สินค้า!$B$2:$B$101,MATCH(B138,สินค้า!$A$2:$A$101,0)),"ไม่พบรหัส"))</f>
        <v/>
      </c>
      <c r="D138" s="14" t="str">
        <f aca="false">IF(B138="","",IFERROR(INDEX(สินค้า!$D$2:$D$101,MATCH(B138,สินค้า!$A$2:$A$101,0)),""))</f>
        <v/>
      </c>
      <c r="E138" s="6"/>
      <c r="F138" s="8"/>
      <c r="G138" s="8"/>
      <c r="H138" s="8"/>
      <c r="I138" s="15"/>
      <c r="J138" s="15"/>
      <c r="K138" s="10" t="str">
        <f aca="false">IF(J138&lt;&gt;"",J138,IF(I138="","",I138*IFERROR(INDEX(สินค้า!$G$2:$G$101,MATCH(B138,สินค้า!$A$2:$A$101,0)),0)))</f>
        <v/>
      </c>
      <c r="L138" s="16" t="str">
        <f aca="false">IF(OR(F138="",F138=0,G138=""),"",G138/F138)</f>
        <v/>
      </c>
      <c r="M138" s="16" t="str">
        <f aca="false">IF(OR(G138="",G138=0,H138=""),"",H138/G138)</f>
        <v/>
      </c>
    </row>
    <row r="139" customFormat="false" ht="15" hidden="false" customHeight="false" outlineLevel="0" collapsed="false">
      <c r="A139" s="12"/>
      <c r="B139" s="6"/>
      <c r="C139" s="13" t="str">
        <f aca="false">IF(B139="","",IFERROR(INDEX(สินค้า!$B$2:$B$101,MATCH(B139,สินค้า!$A$2:$A$101,0)),"ไม่พบรหัส"))</f>
        <v/>
      </c>
      <c r="D139" s="14" t="str">
        <f aca="false">IF(B139="","",IFERROR(INDEX(สินค้า!$D$2:$D$101,MATCH(B139,สินค้า!$A$2:$A$101,0)),""))</f>
        <v/>
      </c>
      <c r="E139" s="6"/>
      <c r="F139" s="8"/>
      <c r="G139" s="8"/>
      <c r="H139" s="8"/>
      <c r="I139" s="15"/>
      <c r="J139" s="15"/>
      <c r="K139" s="10" t="str">
        <f aca="false">IF(J139&lt;&gt;"",J139,IF(I139="","",I139*IFERROR(INDEX(สินค้า!$G$2:$G$101,MATCH(B139,สินค้า!$A$2:$A$101,0)),0)))</f>
        <v/>
      </c>
      <c r="L139" s="16" t="str">
        <f aca="false">IF(OR(F139="",F139=0,G139=""),"",G139/F139)</f>
        <v/>
      </c>
      <c r="M139" s="16" t="str">
        <f aca="false">IF(OR(G139="",G139=0,H139=""),"",H139/G139)</f>
        <v/>
      </c>
    </row>
    <row r="140" customFormat="false" ht="15" hidden="false" customHeight="false" outlineLevel="0" collapsed="false">
      <c r="A140" s="12"/>
      <c r="B140" s="6"/>
      <c r="C140" s="13" t="str">
        <f aca="false">IF(B140="","",IFERROR(INDEX(สินค้า!$B$2:$B$101,MATCH(B140,สินค้า!$A$2:$A$101,0)),"ไม่พบรหัส"))</f>
        <v/>
      </c>
      <c r="D140" s="14" t="str">
        <f aca="false">IF(B140="","",IFERROR(INDEX(สินค้า!$D$2:$D$101,MATCH(B140,สินค้า!$A$2:$A$101,0)),""))</f>
        <v/>
      </c>
      <c r="E140" s="6"/>
      <c r="F140" s="8"/>
      <c r="G140" s="8"/>
      <c r="H140" s="8"/>
      <c r="I140" s="15"/>
      <c r="J140" s="15"/>
      <c r="K140" s="10" t="str">
        <f aca="false">IF(J140&lt;&gt;"",J140,IF(I140="","",I140*IFERROR(INDEX(สินค้า!$G$2:$G$101,MATCH(B140,สินค้า!$A$2:$A$101,0)),0)))</f>
        <v/>
      </c>
      <c r="L140" s="16" t="str">
        <f aca="false">IF(OR(F140="",F140=0,G140=""),"",G140/F140)</f>
        <v/>
      </c>
      <c r="M140" s="16" t="str">
        <f aca="false">IF(OR(G140="",G140=0,H140=""),"",H140/G140)</f>
        <v/>
      </c>
    </row>
    <row r="141" customFormat="false" ht="15" hidden="false" customHeight="false" outlineLevel="0" collapsed="false">
      <c r="A141" s="12"/>
      <c r="B141" s="6"/>
      <c r="C141" s="13" t="str">
        <f aca="false">IF(B141="","",IFERROR(INDEX(สินค้า!$B$2:$B$101,MATCH(B141,สินค้า!$A$2:$A$101,0)),"ไม่พบรหัส"))</f>
        <v/>
      </c>
      <c r="D141" s="14" t="str">
        <f aca="false">IF(B141="","",IFERROR(INDEX(สินค้า!$D$2:$D$101,MATCH(B141,สินค้า!$A$2:$A$101,0)),""))</f>
        <v/>
      </c>
      <c r="E141" s="6"/>
      <c r="F141" s="8"/>
      <c r="G141" s="8"/>
      <c r="H141" s="8"/>
      <c r="I141" s="15"/>
      <c r="J141" s="15"/>
      <c r="K141" s="10" t="str">
        <f aca="false">IF(J141&lt;&gt;"",J141,IF(I141="","",I141*IFERROR(INDEX(สินค้า!$G$2:$G$101,MATCH(B141,สินค้า!$A$2:$A$101,0)),0)))</f>
        <v/>
      </c>
      <c r="L141" s="16" t="str">
        <f aca="false">IF(OR(F141="",F141=0,G141=""),"",G141/F141)</f>
        <v/>
      </c>
      <c r="M141" s="16" t="str">
        <f aca="false">IF(OR(G141="",G141=0,H141=""),"",H141/G141)</f>
        <v/>
      </c>
    </row>
    <row r="142" customFormat="false" ht="15" hidden="false" customHeight="false" outlineLevel="0" collapsed="false">
      <c r="A142" s="12"/>
      <c r="B142" s="6"/>
      <c r="C142" s="13" t="str">
        <f aca="false">IF(B142="","",IFERROR(INDEX(สินค้า!$B$2:$B$101,MATCH(B142,สินค้า!$A$2:$A$101,0)),"ไม่พบรหัส"))</f>
        <v/>
      </c>
      <c r="D142" s="14" t="str">
        <f aca="false">IF(B142="","",IFERROR(INDEX(สินค้า!$D$2:$D$101,MATCH(B142,สินค้า!$A$2:$A$101,0)),""))</f>
        <v/>
      </c>
      <c r="E142" s="6"/>
      <c r="F142" s="8"/>
      <c r="G142" s="8"/>
      <c r="H142" s="8"/>
      <c r="I142" s="15"/>
      <c r="J142" s="15"/>
      <c r="K142" s="10" t="str">
        <f aca="false">IF(J142&lt;&gt;"",J142,IF(I142="","",I142*IFERROR(INDEX(สินค้า!$G$2:$G$101,MATCH(B142,สินค้า!$A$2:$A$101,0)),0)))</f>
        <v/>
      </c>
      <c r="L142" s="16" t="str">
        <f aca="false">IF(OR(F142="",F142=0,G142=""),"",G142/F142)</f>
        <v/>
      </c>
      <c r="M142" s="16" t="str">
        <f aca="false">IF(OR(G142="",G142=0,H142=""),"",H142/G142)</f>
        <v/>
      </c>
    </row>
    <row r="143" customFormat="false" ht="15" hidden="false" customHeight="false" outlineLevel="0" collapsed="false">
      <c r="A143" s="12"/>
      <c r="B143" s="6"/>
      <c r="C143" s="13" t="str">
        <f aca="false">IF(B143="","",IFERROR(INDEX(สินค้า!$B$2:$B$101,MATCH(B143,สินค้า!$A$2:$A$101,0)),"ไม่พบรหัส"))</f>
        <v/>
      </c>
      <c r="D143" s="14" t="str">
        <f aca="false">IF(B143="","",IFERROR(INDEX(สินค้า!$D$2:$D$101,MATCH(B143,สินค้า!$A$2:$A$101,0)),""))</f>
        <v/>
      </c>
      <c r="E143" s="6"/>
      <c r="F143" s="8"/>
      <c r="G143" s="8"/>
      <c r="H143" s="8"/>
      <c r="I143" s="15"/>
      <c r="J143" s="15"/>
      <c r="K143" s="10" t="str">
        <f aca="false">IF(J143&lt;&gt;"",J143,IF(I143="","",I143*IFERROR(INDEX(สินค้า!$G$2:$G$101,MATCH(B143,สินค้า!$A$2:$A$101,0)),0)))</f>
        <v/>
      </c>
      <c r="L143" s="16" t="str">
        <f aca="false">IF(OR(F143="",F143=0,G143=""),"",G143/F143)</f>
        <v/>
      </c>
      <c r="M143" s="16" t="str">
        <f aca="false">IF(OR(G143="",G143=0,H143=""),"",H143/G143)</f>
        <v/>
      </c>
    </row>
    <row r="144" customFormat="false" ht="15" hidden="false" customHeight="false" outlineLevel="0" collapsed="false">
      <c r="A144" s="12"/>
      <c r="B144" s="6"/>
      <c r="C144" s="13" t="str">
        <f aca="false">IF(B144="","",IFERROR(INDEX(สินค้า!$B$2:$B$101,MATCH(B144,สินค้า!$A$2:$A$101,0)),"ไม่พบรหัส"))</f>
        <v/>
      </c>
      <c r="D144" s="14" t="str">
        <f aca="false">IF(B144="","",IFERROR(INDEX(สินค้า!$D$2:$D$101,MATCH(B144,สินค้า!$A$2:$A$101,0)),""))</f>
        <v/>
      </c>
      <c r="E144" s="6"/>
      <c r="F144" s="8"/>
      <c r="G144" s="8"/>
      <c r="H144" s="8"/>
      <c r="I144" s="15"/>
      <c r="J144" s="15"/>
      <c r="K144" s="10" t="str">
        <f aca="false">IF(J144&lt;&gt;"",J144,IF(I144="","",I144*IFERROR(INDEX(สินค้า!$G$2:$G$101,MATCH(B144,สินค้า!$A$2:$A$101,0)),0)))</f>
        <v/>
      </c>
      <c r="L144" s="16" t="str">
        <f aca="false">IF(OR(F144="",F144=0,G144=""),"",G144/F144)</f>
        <v/>
      </c>
      <c r="M144" s="16" t="str">
        <f aca="false">IF(OR(G144="",G144=0,H144=""),"",H144/G144)</f>
        <v/>
      </c>
    </row>
    <row r="145" customFormat="false" ht="15" hidden="false" customHeight="false" outlineLevel="0" collapsed="false">
      <c r="A145" s="12"/>
      <c r="B145" s="6"/>
      <c r="C145" s="13" t="str">
        <f aca="false">IF(B145="","",IFERROR(INDEX(สินค้า!$B$2:$B$101,MATCH(B145,สินค้า!$A$2:$A$101,0)),"ไม่พบรหัส"))</f>
        <v/>
      </c>
      <c r="D145" s="14" t="str">
        <f aca="false">IF(B145="","",IFERROR(INDEX(สินค้า!$D$2:$D$101,MATCH(B145,สินค้า!$A$2:$A$101,0)),""))</f>
        <v/>
      </c>
      <c r="E145" s="6"/>
      <c r="F145" s="8"/>
      <c r="G145" s="8"/>
      <c r="H145" s="8"/>
      <c r="I145" s="15"/>
      <c r="J145" s="15"/>
      <c r="K145" s="10" t="str">
        <f aca="false">IF(J145&lt;&gt;"",J145,IF(I145="","",I145*IFERROR(INDEX(สินค้า!$G$2:$G$101,MATCH(B145,สินค้า!$A$2:$A$101,0)),0)))</f>
        <v/>
      </c>
      <c r="L145" s="16" t="str">
        <f aca="false">IF(OR(F145="",F145=0,G145=""),"",G145/F145)</f>
        <v/>
      </c>
      <c r="M145" s="16" t="str">
        <f aca="false">IF(OR(G145="",G145=0,H145=""),"",H145/G145)</f>
        <v/>
      </c>
    </row>
    <row r="146" customFormat="false" ht="15" hidden="false" customHeight="false" outlineLevel="0" collapsed="false">
      <c r="A146" s="12"/>
      <c r="B146" s="6"/>
      <c r="C146" s="13" t="str">
        <f aca="false">IF(B146="","",IFERROR(INDEX(สินค้า!$B$2:$B$101,MATCH(B146,สินค้า!$A$2:$A$101,0)),"ไม่พบรหัส"))</f>
        <v/>
      </c>
      <c r="D146" s="14" t="str">
        <f aca="false">IF(B146="","",IFERROR(INDEX(สินค้า!$D$2:$D$101,MATCH(B146,สินค้า!$A$2:$A$101,0)),""))</f>
        <v/>
      </c>
      <c r="E146" s="6"/>
      <c r="F146" s="8"/>
      <c r="G146" s="8"/>
      <c r="H146" s="8"/>
      <c r="I146" s="15"/>
      <c r="J146" s="15"/>
      <c r="K146" s="10" t="str">
        <f aca="false">IF(J146&lt;&gt;"",J146,IF(I146="","",I146*IFERROR(INDEX(สินค้า!$G$2:$G$101,MATCH(B146,สินค้า!$A$2:$A$101,0)),0)))</f>
        <v/>
      </c>
      <c r="L146" s="16" t="str">
        <f aca="false">IF(OR(F146="",F146=0,G146=""),"",G146/F146)</f>
        <v/>
      </c>
      <c r="M146" s="16" t="str">
        <f aca="false">IF(OR(G146="",G146=0,H146=""),"",H146/G146)</f>
        <v/>
      </c>
    </row>
    <row r="147" customFormat="false" ht="15" hidden="false" customHeight="false" outlineLevel="0" collapsed="false">
      <c r="A147" s="12"/>
      <c r="B147" s="6"/>
      <c r="C147" s="13" t="str">
        <f aca="false">IF(B147="","",IFERROR(INDEX(สินค้า!$B$2:$B$101,MATCH(B147,สินค้า!$A$2:$A$101,0)),"ไม่พบรหัส"))</f>
        <v/>
      </c>
      <c r="D147" s="14" t="str">
        <f aca="false">IF(B147="","",IFERROR(INDEX(สินค้า!$D$2:$D$101,MATCH(B147,สินค้า!$A$2:$A$101,0)),""))</f>
        <v/>
      </c>
      <c r="E147" s="6"/>
      <c r="F147" s="8"/>
      <c r="G147" s="8"/>
      <c r="H147" s="8"/>
      <c r="I147" s="15"/>
      <c r="J147" s="15"/>
      <c r="K147" s="10" t="str">
        <f aca="false">IF(J147&lt;&gt;"",J147,IF(I147="","",I147*IFERROR(INDEX(สินค้า!$G$2:$G$101,MATCH(B147,สินค้า!$A$2:$A$101,0)),0)))</f>
        <v/>
      </c>
      <c r="L147" s="16" t="str">
        <f aca="false">IF(OR(F147="",F147=0,G147=""),"",G147/F147)</f>
        <v/>
      </c>
      <c r="M147" s="16" t="str">
        <f aca="false">IF(OR(G147="",G147=0,H147=""),"",H147/G147)</f>
        <v/>
      </c>
    </row>
    <row r="148" customFormat="false" ht="15" hidden="false" customHeight="false" outlineLevel="0" collapsed="false">
      <c r="A148" s="12"/>
      <c r="B148" s="6"/>
      <c r="C148" s="13" t="str">
        <f aca="false">IF(B148="","",IFERROR(INDEX(สินค้า!$B$2:$B$101,MATCH(B148,สินค้า!$A$2:$A$101,0)),"ไม่พบรหัส"))</f>
        <v/>
      </c>
      <c r="D148" s="14" t="str">
        <f aca="false">IF(B148="","",IFERROR(INDEX(สินค้า!$D$2:$D$101,MATCH(B148,สินค้า!$A$2:$A$101,0)),""))</f>
        <v/>
      </c>
      <c r="E148" s="6"/>
      <c r="F148" s="8"/>
      <c r="G148" s="8"/>
      <c r="H148" s="8"/>
      <c r="I148" s="15"/>
      <c r="J148" s="15"/>
      <c r="K148" s="10" t="str">
        <f aca="false">IF(J148&lt;&gt;"",J148,IF(I148="","",I148*IFERROR(INDEX(สินค้า!$G$2:$G$101,MATCH(B148,สินค้า!$A$2:$A$101,0)),0)))</f>
        <v/>
      </c>
      <c r="L148" s="16" t="str">
        <f aca="false">IF(OR(F148="",F148=0,G148=""),"",G148/F148)</f>
        <v/>
      </c>
      <c r="M148" s="16" t="str">
        <f aca="false">IF(OR(G148="",G148=0,H148=""),"",H148/G148)</f>
        <v/>
      </c>
    </row>
    <row r="149" customFormat="false" ht="15" hidden="false" customHeight="false" outlineLevel="0" collapsed="false">
      <c r="A149" s="12"/>
      <c r="B149" s="6"/>
      <c r="C149" s="13" t="str">
        <f aca="false">IF(B149="","",IFERROR(INDEX(สินค้า!$B$2:$B$101,MATCH(B149,สินค้า!$A$2:$A$101,0)),"ไม่พบรหัส"))</f>
        <v/>
      </c>
      <c r="D149" s="14" t="str">
        <f aca="false">IF(B149="","",IFERROR(INDEX(สินค้า!$D$2:$D$101,MATCH(B149,สินค้า!$A$2:$A$101,0)),""))</f>
        <v/>
      </c>
      <c r="E149" s="6"/>
      <c r="F149" s="8"/>
      <c r="G149" s="8"/>
      <c r="H149" s="8"/>
      <c r="I149" s="15"/>
      <c r="J149" s="15"/>
      <c r="K149" s="10" t="str">
        <f aca="false">IF(J149&lt;&gt;"",J149,IF(I149="","",I149*IFERROR(INDEX(สินค้า!$G$2:$G$101,MATCH(B149,สินค้า!$A$2:$A$101,0)),0)))</f>
        <v/>
      </c>
      <c r="L149" s="16" t="str">
        <f aca="false">IF(OR(F149="",F149=0,G149=""),"",G149/F149)</f>
        <v/>
      </c>
      <c r="M149" s="16" t="str">
        <f aca="false">IF(OR(G149="",G149=0,H149=""),"",H149/G149)</f>
        <v/>
      </c>
    </row>
    <row r="150" customFormat="false" ht="15" hidden="false" customHeight="false" outlineLevel="0" collapsed="false">
      <c r="A150" s="12"/>
      <c r="B150" s="6"/>
      <c r="C150" s="13" t="str">
        <f aca="false">IF(B150="","",IFERROR(INDEX(สินค้า!$B$2:$B$101,MATCH(B150,สินค้า!$A$2:$A$101,0)),"ไม่พบรหัส"))</f>
        <v/>
      </c>
      <c r="D150" s="14" t="str">
        <f aca="false">IF(B150="","",IFERROR(INDEX(สินค้า!$D$2:$D$101,MATCH(B150,สินค้า!$A$2:$A$101,0)),""))</f>
        <v/>
      </c>
      <c r="E150" s="6"/>
      <c r="F150" s="8"/>
      <c r="G150" s="8"/>
      <c r="H150" s="8"/>
      <c r="I150" s="15"/>
      <c r="J150" s="15"/>
      <c r="K150" s="10" t="str">
        <f aca="false">IF(J150&lt;&gt;"",J150,IF(I150="","",I150*IFERROR(INDEX(สินค้า!$G$2:$G$101,MATCH(B150,สินค้า!$A$2:$A$101,0)),0)))</f>
        <v/>
      </c>
      <c r="L150" s="16" t="str">
        <f aca="false">IF(OR(F150="",F150=0,G150=""),"",G150/F150)</f>
        <v/>
      </c>
      <c r="M150" s="16" t="str">
        <f aca="false">IF(OR(G150="",G150=0,H150=""),"",H150/G150)</f>
        <v/>
      </c>
    </row>
    <row r="151" customFormat="false" ht="15" hidden="false" customHeight="false" outlineLevel="0" collapsed="false">
      <c r="A151" s="12"/>
      <c r="B151" s="6"/>
      <c r="C151" s="13" t="str">
        <f aca="false">IF(B151="","",IFERROR(INDEX(สินค้า!$B$2:$B$101,MATCH(B151,สินค้า!$A$2:$A$101,0)),"ไม่พบรหัส"))</f>
        <v/>
      </c>
      <c r="D151" s="14" t="str">
        <f aca="false">IF(B151="","",IFERROR(INDEX(สินค้า!$D$2:$D$101,MATCH(B151,สินค้า!$A$2:$A$101,0)),""))</f>
        <v/>
      </c>
      <c r="E151" s="6"/>
      <c r="F151" s="8"/>
      <c r="G151" s="8"/>
      <c r="H151" s="8"/>
      <c r="I151" s="15"/>
      <c r="J151" s="15"/>
      <c r="K151" s="10" t="str">
        <f aca="false">IF(J151&lt;&gt;"",J151,IF(I151="","",I151*IFERROR(INDEX(สินค้า!$G$2:$G$101,MATCH(B151,สินค้า!$A$2:$A$101,0)),0)))</f>
        <v/>
      </c>
      <c r="L151" s="16" t="str">
        <f aca="false">IF(OR(F151="",F151=0,G151=""),"",G151/F151)</f>
        <v/>
      </c>
      <c r="M151" s="16" t="str">
        <f aca="false">IF(OR(G151="",G151=0,H151=""),"",H151/G151)</f>
        <v/>
      </c>
    </row>
    <row r="152" customFormat="false" ht="15" hidden="false" customHeight="false" outlineLevel="0" collapsed="false">
      <c r="A152" s="12"/>
      <c r="B152" s="6"/>
      <c r="C152" s="13" t="str">
        <f aca="false">IF(B152="","",IFERROR(INDEX(สินค้า!$B$2:$B$101,MATCH(B152,สินค้า!$A$2:$A$101,0)),"ไม่พบรหัส"))</f>
        <v/>
      </c>
      <c r="D152" s="14" t="str">
        <f aca="false">IF(B152="","",IFERROR(INDEX(สินค้า!$D$2:$D$101,MATCH(B152,สินค้า!$A$2:$A$101,0)),""))</f>
        <v/>
      </c>
      <c r="E152" s="6"/>
      <c r="F152" s="8"/>
      <c r="G152" s="8"/>
      <c r="H152" s="8"/>
      <c r="I152" s="15"/>
      <c r="J152" s="15"/>
      <c r="K152" s="10" t="str">
        <f aca="false">IF(J152&lt;&gt;"",J152,IF(I152="","",I152*IFERROR(INDEX(สินค้า!$G$2:$G$101,MATCH(B152,สินค้า!$A$2:$A$101,0)),0)))</f>
        <v/>
      </c>
      <c r="L152" s="16" t="str">
        <f aca="false">IF(OR(F152="",F152=0,G152=""),"",G152/F152)</f>
        <v/>
      </c>
      <c r="M152" s="16" t="str">
        <f aca="false">IF(OR(G152="",G152=0,H152=""),"",H152/G152)</f>
        <v/>
      </c>
    </row>
    <row r="153" customFormat="false" ht="15" hidden="false" customHeight="false" outlineLevel="0" collapsed="false">
      <c r="A153" s="12"/>
      <c r="B153" s="6"/>
      <c r="C153" s="13" t="str">
        <f aca="false">IF(B153="","",IFERROR(INDEX(สินค้า!$B$2:$B$101,MATCH(B153,สินค้า!$A$2:$A$101,0)),"ไม่พบรหัส"))</f>
        <v/>
      </c>
      <c r="D153" s="14" t="str">
        <f aca="false">IF(B153="","",IFERROR(INDEX(สินค้า!$D$2:$D$101,MATCH(B153,สินค้า!$A$2:$A$101,0)),""))</f>
        <v/>
      </c>
      <c r="E153" s="6"/>
      <c r="F153" s="8"/>
      <c r="G153" s="8"/>
      <c r="H153" s="8"/>
      <c r="I153" s="15"/>
      <c r="J153" s="15"/>
      <c r="K153" s="10" t="str">
        <f aca="false">IF(J153&lt;&gt;"",J153,IF(I153="","",I153*IFERROR(INDEX(สินค้า!$G$2:$G$101,MATCH(B153,สินค้า!$A$2:$A$101,0)),0)))</f>
        <v/>
      </c>
      <c r="L153" s="16" t="str">
        <f aca="false">IF(OR(F153="",F153=0,G153=""),"",G153/F153)</f>
        <v/>
      </c>
      <c r="M153" s="16" t="str">
        <f aca="false">IF(OR(G153="",G153=0,H153=""),"",H153/G153)</f>
        <v/>
      </c>
    </row>
    <row r="154" customFormat="false" ht="15" hidden="false" customHeight="false" outlineLevel="0" collapsed="false">
      <c r="A154" s="12"/>
      <c r="B154" s="6"/>
      <c r="C154" s="13" t="str">
        <f aca="false">IF(B154="","",IFERROR(INDEX(สินค้า!$B$2:$B$101,MATCH(B154,สินค้า!$A$2:$A$101,0)),"ไม่พบรหัส"))</f>
        <v/>
      </c>
      <c r="D154" s="14" t="str">
        <f aca="false">IF(B154="","",IFERROR(INDEX(สินค้า!$D$2:$D$101,MATCH(B154,สินค้า!$A$2:$A$101,0)),""))</f>
        <v/>
      </c>
      <c r="E154" s="6"/>
      <c r="F154" s="8"/>
      <c r="G154" s="8"/>
      <c r="H154" s="8"/>
      <c r="I154" s="15"/>
      <c r="J154" s="15"/>
      <c r="K154" s="10" t="str">
        <f aca="false">IF(J154&lt;&gt;"",J154,IF(I154="","",I154*IFERROR(INDEX(สินค้า!$G$2:$G$101,MATCH(B154,สินค้า!$A$2:$A$101,0)),0)))</f>
        <v/>
      </c>
      <c r="L154" s="16" t="str">
        <f aca="false">IF(OR(F154="",F154=0,G154=""),"",G154/F154)</f>
        <v/>
      </c>
      <c r="M154" s="16" t="str">
        <f aca="false">IF(OR(G154="",G154=0,H154=""),"",H154/G154)</f>
        <v/>
      </c>
    </row>
    <row r="155" customFormat="false" ht="15" hidden="false" customHeight="false" outlineLevel="0" collapsed="false">
      <c r="A155" s="12"/>
      <c r="B155" s="6"/>
      <c r="C155" s="13" t="str">
        <f aca="false">IF(B155="","",IFERROR(INDEX(สินค้า!$B$2:$B$101,MATCH(B155,สินค้า!$A$2:$A$101,0)),"ไม่พบรหัส"))</f>
        <v/>
      </c>
      <c r="D155" s="14" t="str">
        <f aca="false">IF(B155="","",IFERROR(INDEX(สินค้า!$D$2:$D$101,MATCH(B155,สินค้า!$A$2:$A$101,0)),""))</f>
        <v/>
      </c>
      <c r="E155" s="6"/>
      <c r="F155" s="8"/>
      <c r="G155" s="8"/>
      <c r="H155" s="8"/>
      <c r="I155" s="15"/>
      <c r="J155" s="15"/>
      <c r="K155" s="10" t="str">
        <f aca="false">IF(J155&lt;&gt;"",J155,IF(I155="","",I155*IFERROR(INDEX(สินค้า!$G$2:$G$101,MATCH(B155,สินค้า!$A$2:$A$101,0)),0)))</f>
        <v/>
      </c>
      <c r="L155" s="16" t="str">
        <f aca="false">IF(OR(F155="",F155=0,G155=""),"",G155/F155)</f>
        <v/>
      </c>
      <c r="M155" s="16" t="str">
        <f aca="false">IF(OR(G155="",G155=0,H155=""),"",H155/G155)</f>
        <v/>
      </c>
    </row>
    <row r="156" customFormat="false" ht="15" hidden="false" customHeight="false" outlineLevel="0" collapsed="false">
      <c r="A156" s="12"/>
      <c r="B156" s="6"/>
      <c r="C156" s="13" t="str">
        <f aca="false">IF(B156="","",IFERROR(INDEX(สินค้า!$B$2:$B$101,MATCH(B156,สินค้า!$A$2:$A$101,0)),"ไม่พบรหัส"))</f>
        <v/>
      </c>
      <c r="D156" s="14" t="str">
        <f aca="false">IF(B156="","",IFERROR(INDEX(สินค้า!$D$2:$D$101,MATCH(B156,สินค้า!$A$2:$A$101,0)),""))</f>
        <v/>
      </c>
      <c r="E156" s="6"/>
      <c r="F156" s="8"/>
      <c r="G156" s="8"/>
      <c r="H156" s="8"/>
      <c r="I156" s="15"/>
      <c r="J156" s="15"/>
      <c r="K156" s="10" t="str">
        <f aca="false">IF(J156&lt;&gt;"",J156,IF(I156="","",I156*IFERROR(INDEX(สินค้า!$G$2:$G$101,MATCH(B156,สินค้า!$A$2:$A$101,0)),0)))</f>
        <v/>
      </c>
      <c r="L156" s="16" t="str">
        <f aca="false">IF(OR(F156="",F156=0,G156=""),"",G156/F156)</f>
        <v/>
      </c>
      <c r="M156" s="16" t="str">
        <f aca="false">IF(OR(G156="",G156=0,H156=""),"",H156/G156)</f>
        <v/>
      </c>
    </row>
    <row r="157" customFormat="false" ht="15" hidden="false" customHeight="false" outlineLevel="0" collapsed="false">
      <c r="A157" s="12"/>
      <c r="B157" s="6"/>
      <c r="C157" s="13" t="str">
        <f aca="false">IF(B157="","",IFERROR(INDEX(สินค้า!$B$2:$B$101,MATCH(B157,สินค้า!$A$2:$A$101,0)),"ไม่พบรหัส"))</f>
        <v/>
      </c>
      <c r="D157" s="14" t="str">
        <f aca="false">IF(B157="","",IFERROR(INDEX(สินค้า!$D$2:$D$101,MATCH(B157,สินค้า!$A$2:$A$101,0)),""))</f>
        <v/>
      </c>
      <c r="E157" s="6"/>
      <c r="F157" s="8"/>
      <c r="G157" s="8"/>
      <c r="H157" s="8"/>
      <c r="I157" s="15"/>
      <c r="J157" s="15"/>
      <c r="K157" s="10" t="str">
        <f aca="false">IF(J157&lt;&gt;"",J157,IF(I157="","",I157*IFERROR(INDEX(สินค้า!$G$2:$G$101,MATCH(B157,สินค้า!$A$2:$A$101,0)),0)))</f>
        <v/>
      </c>
      <c r="L157" s="16" t="str">
        <f aca="false">IF(OR(F157="",F157=0,G157=""),"",G157/F157)</f>
        <v/>
      </c>
      <c r="M157" s="16" t="str">
        <f aca="false">IF(OR(G157="",G157=0,H157=""),"",H157/G157)</f>
        <v/>
      </c>
    </row>
    <row r="158" customFormat="false" ht="15" hidden="false" customHeight="false" outlineLevel="0" collapsed="false">
      <c r="A158" s="12"/>
      <c r="B158" s="6"/>
      <c r="C158" s="13" t="str">
        <f aca="false">IF(B158="","",IFERROR(INDEX(สินค้า!$B$2:$B$101,MATCH(B158,สินค้า!$A$2:$A$101,0)),"ไม่พบรหัส"))</f>
        <v/>
      </c>
      <c r="D158" s="14" t="str">
        <f aca="false">IF(B158="","",IFERROR(INDEX(สินค้า!$D$2:$D$101,MATCH(B158,สินค้า!$A$2:$A$101,0)),""))</f>
        <v/>
      </c>
      <c r="E158" s="6"/>
      <c r="F158" s="8"/>
      <c r="G158" s="8"/>
      <c r="H158" s="8"/>
      <c r="I158" s="15"/>
      <c r="J158" s="15"/>
      <c r="K158" s="10" t="str">
        <f aca="false">IF(J158&lt;&gt;"",J158,IF(I158="","",I158*IFERROR(INDEX(สินค้า!$G$2:$G$101,MATCH(B158,สินค้า!$A$2:$A$101,0)),0)))</f>
        <v/>
      </c>
      <c r="L158" s="16" t="str">
        <f aca="false">IF(OR(F158="",F158=0,G158=""),"",G158/F158)</f>
        <v/>
      </c>
      <c r="M158" s="16" t="str">
        <f aca="false">IF(OR(G158="",G158=0,H158=""),"",H158/G158)</f>
        <v/>
      </c>
    </row>
    <row r="159" customFormat="false" ht="15" hidden="false" customHeight="false" outlineLevel="0" collapsed="false">
      <c r="A159" s="12"/>
      <c r="B159" s="6"/>
      <c r="C159" s="13" t="str">
        <f aca="false">IF(B159="","",IFERROR(INDEX(สินค้า!$B$2:$B$101,MATCH(B159,สินค้า!$A$2:$A$101,0)),"ไม่พบรหัส"))</f>
        <v/>
      </c>
      <c r="D159" s="14" t="str">
        <f aca="false">IF(B159="","",IFERROR(INDEX(สินค้า!$D$2:$D$101,MATCH(B159,สินค้า!$A$2:$A$101,0)),""))</f>
        <v/>
      </c>
      <c r="E159" s="6"/>
      <c r="F159" s="8"/>
      <c r="G159" s="8"/>
      <c r="H159" s="8"/>
      <c r="I159" s="15"/>
      <c r="J159" s="15"/>
      <c r="K159" s="10" t="str">
        <f aca="false">IF(J159&lt;&gt;"",J159,IF(I159="","",I159*IFERROR(INDEX(สินค้า!$G$2:$G$101,MATCH(B159,สินค้า!$A$2:$A$101,0)),0)))</f>
        <v/>
      </c>
      <c r="L159" s="16" t="str">
        <f aca="false">IF(OR(F159="",F159=0,G159=""),"",G159/F159)</f>
        <v/>
      </c>
      <c r="M159" s="16" t="str">
        <f aca="false">IF(OR(G159="",G159=0,H159=""),"",H159/G159)</f>
        <v/>
      </c>
    </row>
    <row r="160" customFormat="false" ht="15" hidden="false" customHeight="false" outlineLevel="0" collapsed="false">
      <c r="A160" s="12"/>
      <c r="B160" s="6"/>
      <c r="C160" s="13" t="str">
        <f aca="false">IF(B160="","",IFERROR(INDEX(สินค้า!$B$2:$B$101,MATCH(B160,สินค้า!$A$2:$A$101,0)),"ไม่พบรหัส"))</f>
        <v/>
      </c>
      <c r="D160" s="14" t="str">
        <f aca="false">IF(B160="","",IFERROR(INDEX(สินค้า!$D$2:$D$101,MATCH(B160,สินค้า!$A$2:$A$101,0)),""))</f>
        <v/>
      </c>
      <c r="E160" s="6"/>
      <c r="F160" s="8"/>
      <c r="G160" s="8"/>
      <c r="H160" s="8"/>
      <c r="I160" s="15"/>
      <c r="J160" s="15"/>
      <c r="K160" s="10" t="str">
        <f aca="false">IF(J160&lt;&gt;"",J160,IF(I160="","",I160*IFERROR(INDEX(สินค้า!$G$2:$G$101,MATCH(B160,สินค้า!$A$2:$A$101,0)),0)))</f>
        <v/>
      </c>
      <c r="L160" s="16" t="str">
        <f aca="false">IF(OR(F160="",F160=0,G160=""),"",G160/F160)</f>
        <v/>
      </c>
      <c r="M160" s="16" t="str">
        <f aca="false">IF(OR(G160="",G160=0,H160=""),"",H160/G160)</f>
        <v/>
      </c>
    </row>
    <row r="161" customFormat="false" ht="15" hidden="false" customHeight="false" outlineLevel="0" collapsed="false">
      <c r="A161" s="12"/>
      <c r="B161" s="6"/>
      <c r="C161" s="13" t="str">
        <f aca="false">IF(B161="","",IFERROR(INDEX(สินค้า!$B$2:$B$101,MATCH(B161,สินค้า!$A$2:$A$101,0)),"ไม่พบรหัส"))</f>
        <v/>
      </c>
      <c r="D161" s="14" t="str">
        <f aca="false">IF(B161="","",IFERROR(INDEX(สินค้า!$D$2:$D$101,MATCH(B161,สินค้า!$A$2:$A$101,0)),""))</f>
        <v/>
      </c>
      <c r="E161" s="6"/>
      <c r="F161" s="8"/>
      <c r="G161" s="8"/>
      <c r="H161" s="8"/>
      <c r="I161" s="15"/>
      <c r="J161" s="15"/>
      <c r="K161" s="10" t="str">
        <f aca="false">IF(J161&lt;&gt;"",J161,IF(I161="","",I161*IFERROR(INDEX(สินค้า!$G$2:$G$101,MATCH(B161,สินค้า!$A$2:$A$101,0)),0)))</f>
        <v/>
      </c>
      <c r="L161" s="16" t="str">
        <f aca="false">IF(OR(F161="",F161=0,G161=""),"",G161/F161)</f>
        <v/>
      </c>
      <c r="M161" s="16" t="str">
        <f aca="false">IF(OR(G161="",G161=0,H161=""),"",H161/G161)</f>
        <v/>
      </c>
    </row>
    <row r="162" customFormat="false" ht="15" hidden="false" customHeight="false" outlineLevel="0" collapsed="false">
      <c r="A162" s="12"/>
      <c r="B162" s="6"/>
      <c r="C162" s="13" t="str">
        <f aca="false">IF(B162="","",IFERROR(INDEX(สินค้า!$B$2:$B$101,MATCH(B162,สินค้า!$A$2:$A$101,0)),"ไม่พบรหัส"))</f>
        <v/>
      </c>
      <c r="D162" s="14" t="str">
        <f aca="false">IF(B162="","",IFERROR(INDEX(สินค้า!$D$2:$D$101,MATCH(B162,สินค้า!$A$2:$A$101,0)),""))</f>
        <v/>
      </c>
      <c r="E162" s="6"/>
      <c r="F162" s="8"/>
      <c r="G162" s="8"/>
      <c r="H162" s="8"/>
      <c r="I162" s="15"/>
      <c r="J162" s="15"/>
      <c r="K162" s="10" t="str">
        <f aca="false">IF(J162&lt;&gt;"",J162,IF(I162="","",I162*IFERROR(INDEX(สินค้า!$G$2:$G$101,MATCH(B162,สินค้า!$A$2:$A$101,0)),0)))</f>
        <v/>
      </c>
      <c r="L162" s="16" t="str">
        <f aca="false">IF(OR(F162="",F162=0,G162=""),"",G162/F162)</f>
        <v/>
      </c>
      <c r="M162" s="16" t="str">
        <f aca="false">IF(OR(G162="",G162=0,H162=""),"",H162/G162)</f>
        <v/>
      </c>
    </row>
    <row r="163" customFormat="false" ht="15" hidden="false" customHeight="false" outlineLevel="0" collapsed="false">
      <c r="A163" s="12"/>
      <c r="B163" s="6"/>
      <c r="C163" s="13" t="str">
        <f aca="false">IF(B163="","",IFERROR(INDEX(สินค้า!$B$2:$B$101,MATCH(B163,สินค้า!$A$2:$A$101,0)),"ไม่พบรหัส"))</f>
        <v/>
      </c>
      <c r="D163" s="14" t="str">
        <f aca="false">IF(B163="","",IFERROR(INDEX(สินค้า!$D$2:$D$101,MATCH(B163,สินค้า!$A$2:$A$101,0)),""))</f>
        <v/>
      </c>
      <c r="E163" s="6"/>
      <c r="F163" s="8"/>
      <c r="G163" s="8"/>
      <c r="H163" s="8"/>
      <c r="I163" s="15"/>
      <c r="J163" s="15"/>
      <c r="K163" s="10" t="str">
        <f aca="false">IF(J163&lt;&gt;"",J163,IF(I163="","",I163*IFERROR(INDEX(สินค้า!$G$2:$G$101,MATCH(B163,สินค้า!$A$2:$A$101,0)),0)))</f>
        <v/>
      </c>
      <c r="L163" s="16" t="str">
        <f aca="false">IF(OR(F163="",F163=0,G163=""),"",G163/F163)</f>
        <v/>
      </c>
      <c r="M163" s="16" t="str">
        <f aca="false">IF(OR(G163="",G163=0,H163=""),"",H163/G163)</f>
        <v/>
      </c>
    </row>
    <row r="164" customFormat="false" ht="15" hidden="false" customHeight="false" outlineLevel="0" collapsed="false">
      <c r="A164" s="12"/>
      <c r="B164" s="6"/>
      <c r="C164" s="13" t="str">
        <f aca="false">IF(B164="","",IFERROR(INDEX(สินค้า!$B$2:$B$101,MATCH(B164,สินค้า!$A$2:$A$101,0)),"ไม่พบรหัส"))</f>
        <v/>
      </c>
      <c r="D164" s="14" t="str">
        <f aca="false">IF(B164="","",IFERROR(INDEX(สินค้า!$D$2:$D$101,MATCH(B164,สินค้า!$A$2:$A$101,0)),""))</f>
        <v/>
      </c>
      <c r="E164" s="6"/>
      <c r="F164" s="8"/>
      <c r="G164" s="8"/>
      <c r="H164" s="8"/>
      <c r="I164" s="15"/>
      <c r="J164" s="15"/>
      <c r="K164" s="10" t="str">
        <f aca="false">IF(J164&lt;&gt;"",J164,IF(I164="","",I164*IFERROR(INDEX(สินค้า!$G$2:$G$101,MATCH(B164,สินค้า!$A$2:$A$101,0)),0)))</f>
        <v/>
      </c>
      <c r="L164" s="16" t="str">
        <f aca="false">IF(OR(F164="",F164=0,G164=""),"",G164/F164)</f>
        <v/>
      </c>
      <c r="M164" s="16" t="str">
        <f aca="false">IF(OR(G164="",G164=0,H164=""),"",H164/G164)</f>
        <v/>
      </c>
    </row>
    <row r="165" customFormat="false" ht="15" hidden="false" customHeight="false" outlineLevel="0" collapsed="false">
      <c r="A165" s="12"/>
      <c r="B165" s="6"/>
      <c r="C165" s="13" t="str">
        <f aca="false">IF(B165="","",IFERROR(INDEX(สินค้า!$B$2:$B$101,MATCH(B165,สินค้า!$A$2:$A$101,0)),"ไม่พบรหัส"))</f>
        <v/>
      </c>
      <c r="D165" s="14" t="str">
        <f aca="false">IF(B165="","",IFERROR(INDEX(สินค้า!$D$2:$D$101,MATCH(B165,สินค้า!$A$2:$A$101,0)),""))</f>
        <v/>
      </c>
      <c r="E165" s="6"/>
      <c r="F165" s="8"/>
      <c r="G165" s="8"/>
      <c r="H165" s="8"/>
      <c r="I165" s="15"/>
      <c r="J165" s="15"/>
      <c r="K165" s="10" t="str">
        <f aca="false">IF(J165&lt;&gt;"",J165,IF(I165="","",I165*IFERROR(INDEX(สินค้า!$G$2:$G$101,MATCH(B165,สินค้า!$A$2:$A$101,0)),0)))</f>
        <v/>
      </c>
      <c r="L165" s="16" t="str">
        <f aca="false">IF(OR(F165="",F165=0,G165=""),"",G165/F165)</f>
        <v/>
      </c>
      <c r="M165" s="16" t="str">
        <f aca="false">IF(OR(G165="",G165=0,H165=""),"",H165/G165)</f>
        <v/>
      </c>
    </row>
    <row r="166" customFormat="false" ht="15" hidden="false" customHeight="false" outlineLevel="0" collapsed="false">
      <c r="A166" s="12"/>
      <c r="B166" s="6"/>
      <c r="C166" s="13" t="str">
        <f aca="false">IF(B166="","",IFERROR(INDEX(สินค้า!$B$2:$B$101,MATCH(B166,สินค้า!$A$2:$A$101,0)),"ไม่พบรหัส"))</f>
        <v/>
      </c>
      <c r="D166" s="14" t="str">
        <f aca="false">IF(B166="","",IFERROR(INDEX(สินค้า!$D$2:$D$101,MATCH(B166,สินค้า!$A$2:$A$101,0)),""))</f>
        <v/>
      </c>
      <c r="E166" s="6"/>
      <c r="F166" s="8"/>
      <c r="G166" s="8"/>
      <c r="H166" s="8"/>
      <c r="I166" s="15"/>
      <c r="J166" s="15"/>
      <c r="K166" s="10" t="str">
        <f aca="false">IF(J166&lt;&gt;"",J166,IF(I166="","",I166*IFERROR(INDEX(สินค้า!$G$2:$G$101,MATCH(B166,สินค้า!$A$2:$A$101,0)),0)))</f>
        <v/>
      </c>
      <c r="L166" s="16" t="str">
        <f aca="false">IF(OR(F166="",F166=0,G166=""),"",G166/F166)</f>
        <v/>
      </c>
      <c r="M166" s="16" t="str">
        <f aca="false">IF(OR(G166="",G166=0,H166=""),"",H166/G166)</f>
        <v/>
      </c>
    </row>
    <row r="167" customFormat="false" ht="15" hidden="false" customHeight="false" outlineLevel="0" collapsed="false">
      <c r="A167" s="12"/>
      <c r="B167" s="6"/>
      <c r="C167" s="13" t="str">
        <f aca="false">IF(B167="","",IFERROR(INDEX(สินค้า!$B$2:$B$101,MATCH(B167,สินค้า!$A$2:$A$101,0)),"ไม่พบรหัส"))</f>
        <v/>
      </c>
      <c r="D167" s="14" t="str">
        <f aca="false">IF(B167="","",IFERROR(INDEX(สินค้า!$D$2:$D$101,MATCH(B167,สินค้า!$A$2:$A$101,0)),""))</f>
        <v/>
      </c>
      <c r="E167" s="6"/>
      <c r="F167" s="8"/>
      <c r="G167" s="8"/>
      <c r="H167" s="8"/>
      <c r="I167" s="15"/>
      <c r="J167" s="15"/>
      <c r="K167" s="10" t="str">
        <f aca="false">IF(J167&lt;&gt;"",J167,IF(I167="","",I167*IFERROR(INDEX(สินค้า!$G$2:$G$101,MATCH(B167,สินค้า!$A$2:$A$101,0)),0)))</f>
        <v/>
      </c>
      <c r="L167" s="16" t="str">
        <f aca="false">IF(OR(F167="",F167=0,G167=""),"",G167/F167)</f>
        <v/>
      </c>
      <c r="M167" s="16" t="str">
        <f aca="false">IF(OR(G167="",G167=0,H167=""),"",H167/G167)</f>
        <v/>
      </c>
    </row>
    <row r="168" customFormat="false" ht="15" hidden="false" customHeight="false" outlineLevel="0" collapsed="false">
      <c r="A168" s="12"/>
      <c r="B168" s="6"/>
      <c r="C168" s="13" t="str">
        <f aca="false">IF(B168="","",IFERROR(INDEX(สินค้า!$B$2:$B$101,MATCH(B168,สินค้า!$A$2:$A$101,0)),"ไม่พบรหัส"))</f>
        <v/>
      </c>
      <c r="D168" s="14" t="str">
        <f aca="false">IF(B168="","",IFERROR(INDEX(สินค้า!$D$2:$D$101,MATCH(B168,สินค้า!$A$2:$A$101,0)),""))</f>
        <v/>
      </c>
      <c r="E168" s="6"/>
      <c r="F168" s="8"/>
      <c r="G168" s="8"/>
      <c r="H168" s="8"/>
      <c r="I168" s="15"/>
      <c r="J168" s="15"/>
      <c r="K168" s="10" t="str">
        <f aca="false">IF(J168&lt;&gt;"",J168,IF(I168="","",I168*IFERROR(INDEX(สินค้า!$G$2:$G$101,MATCH(B168,สินค้า!$A$2:$A$101,0)),0)))</f>
        <v/>
      </c>
      <c r="L168" s="16" t="str">
        <f aca="false">IF(OR(F168="",F168=0,G168=""),"",G168/F168)</f>
        <v/>
      </c>
      <c r="M168" s="16" t="str">
        <f aca="false">IF(OR(G168="",G168=0,H168=""),"",H168/G168)</f>
        <v/>
      </c>
    </row>
    <row r="169" customFormat="false" ht="15" hidden="false" customHeight="false" outlineLevel="0" collapsed="false">
      <c r="A169" s="12"/>
      <c r="B169" s="6"/>
      <c r="C169" s="13" t="str">
        <f aca="false">IF(B169="","",IFERROR(INDEX(สินค้า!$B$2:$B$101,MATCH(B169,สินค้า!$A$2:$A$101,0)),"ไม่พบรหัส"))</f>
        <v/>
      </c>
      <c r="D169" s="14" t="str">
        <f aca="false">IF(B169="","",IFERROR(INDEX(สินค้า!$D$2:$D$101,MATCH(B169,สินค้า!$A$2:$A$101,0)),""))</f>
        <v/>
      </c>
      <c r="E169" s="6"/>
      <c r="F169" s="8"/>
      <c r="G169" s="8"/>
      <c r="H169" s="8"/>
      <c r="I169" s="15"/>
      <c r="J169" s="15"/>
      <c r="K169" s="10" t="str">
        <f aca="false">IF(J169&lt;&gt;"",J169,IF(I169="","",I169*IFERROR(INDEX(สินค้า!$G$2:$G$101,MATCH(B169,สินค้า!$A$2:$A$101,0)),0)))</f>
        <v/>
      </c>
      <c r="L169" s="16" t="str">
        <f aca="false">IF(OR(F169="",F169=0,G169=""),"",G169/F169)</f>
        <v/>
      </c>
      <c r="M169" s="16" t="str">
        <f aca="false">IF(OR(G169="",G169=0,H169=""),"",H169/G169)</f>
        <v/>
      </c>
    </row>
    <row r="170" customFormat="false" ht="15" hidden="false" customHeight="false" outlineLevel="0" collapsed="false">
      <c r="A170" s="12"/>
      <c r="B170" s="6"/>
      <c r="C170" s="13" t="str">
        <f aca="false">IF(B170="","",IFERROR(INDEX(สินค้า!$B$2:$B$101,MATCH(B170,สินค้า!$A$2:$A$101,0)),"ไม่พบรหัส"))</f>
        <v/>
      </c>
      <c r="D170" s="14" t="str">
        <f aca="false">IF(B170="","",IFERROR(INDEX(สินค้า!$D$2:$D$101,MATCH(B170,สินค้า!$A$2:$A$101,0)),""))</f>
        <v/>
      </c>
      <c r="E170" s="6"/>
      <c r="F170" s="8"/>
      <c r="G170" s="8"/>
      <c r="H170" s="8"/>
      <c r="I170" s="15"/>
      <c r="J170" s="15"/>
      <c r="K170" s="10" t="str">
        <f aca="false">IF(J170&lt;&gt;"",J170,IF(I170="","",I170*IFERROR(INDEX(สินค้า!$G$2:$G$101,MATCH(B170,สินค้า!$A$2:$A$101,0)),0)))</f>
        <v/>
      </c>
      <c r="L170" s="16" t="str">
        <f aca="false">IF(OR(F170="",F170=0,G170=""),"",G170/F170)</f>
        <v/>
      </c>
      <c r="M170" s="16" t="str">
        <f aca="false">IF(OR(G170="",G170=0,H170=""),"",H170/G170)</f>
        <v/>
      </c>
    </row>
    <row r="171" customFormat="false" ht="15" hidden="false" customHeight="false" outlineLevel="0" collapsed="false">
      <c r="A171" s="12"/>
      <c r="B171" s="6"/>
      <c r="C171" s="13" t="str">
        <f aca="false">IF(B171="","",IFERROR(INDEX(สินค้า!$B$2:$B$101,MATCH(B171,สินค้า!$A$2:$A$101,0)),"ไม่พบรหัส"))</f>
        <v/>
      </c>
      <c r="D171" s="14" t="str">
        <f aca="false">IF(B171="","",IFERROR(INDEX(สินค้า!$D$2:$D$101,MATCH(B171,สินค้า!$A$2:$A$101,0)),""))</f>
        <v/>
      </c>
      <c r="E171" s="6"/>
      <c r="F171" s="8"/>
      <c r="G171" s="8"/>
      <c r="H171" s="8"/>
      <c r="I171" s="15"/>
      <c r="J171" s="15"/>
      <c r="K171" s="10" t="str">
        <f aca="false">IF(J171&lt;&gt;"",J171,IF(I171="","",I171*IFERROR(INDEX(สินค้า!$G$2:$G$101,MATCH(B171,สินค้า!$A$2:$A$101,0)),0)))</f>
        <v/>
      </c>
      <c r="L171" s="16" t="str">
        <f aca="false">IF(OR(F171="",F171=0,G171=""),"",G171/F171)</f>
        <v/>
      </c>
      <c r="M171" s="16" t="str">
        <f aca="false">IF(OR(G171="",G171=0,H171=""),"",H171/G171)</f>
        <v/>
      </c>
    </row>
    <row r="172" customFormat="false" ht="15" hidden="false" customHeight="false" outlineLevel="0" collapsed="false">
      <c r="A172" s="12"/>
      <c r="B172" s="6"/>
      <c r="C172" s="13" t="str">
        <f aca="false">IF(B172="","",IFERROR(INDEX(สินค้า!$B$2:$B$101,MATCH(B172,สินค้า!$A$2:$A$101,0)),"ไม่พบรหัส"))</f>
        <v/>
      </c>
      <c r="D172" s="14" t="str">
        <f aca="false">IF(B172="","",IFERROR(INDEX(สินค้า!$D$2:$D$101,MATCH(B172,สินค้า!$A$2:$A$101,0)),""))</f>
        <v/>
      </c>
      <c r="E172" s="6"/>
      <c r="F172" s="8"/>
      <c r="G172" s="8"/>
      <c r="H172" s="8"/>
      <c r="I172" s="15"/>
      <c r="J172" s="15"/>
      <c r="K172" s="10" t="str">
        <f aca="false">IF(J172&lt;&gt;"",J172,IF(I172="","",I172*IFERROR(INDEX(สินค้า!$G$2:$G$101,MATCH(B172,สินค้า!$A$2:$A$101,0)),0)))</f>
        <v/>
      </c>
      <c r="L172" s="16" t="str">
        <f aca="false">IF(OR(F172="",F172=0,G172=""),"",G172/F172)</f>
        <v/>
      </c>
      <c r="M172" s="16" t="str">
        <f aca="false">IF(OR(G172="",G172=0,H172=""),"",H172/G172)</f>
        <v/>
      </c>
    </row>
    <row r="173" customFormat="false" ht="15" hidden="false" customHeight="false" outlineLevel="0" collapsed="false">
      <c r="A173" s="12"/>
      <c r="B173" s="6"/>
      <c r="C173" s="13" t="str">
        <f aca="false">IF(B173="","",IFERROR(INDEX(สินค้า!$B$2:$B$101,MATCH(B173,สินค้า!$A$2:$A$101,0)),"ไม่พบรหัส"))</f>
        <v/>
      </c>
      <c r="D173" s="14" t="str">
        <f aca="false">IF(B173="","",IFERROR(INDEX(สินค้า!$D$2:$D$101,MATCH(B173,สินค้า!$A$2:$A$101,0)),""))</f>
        <v/>
      </c>
      <c r="E173" s="6"/>
      <c r="F173" s="8"/>
      <c r="G173" s="8"/>
      <c r="H173" s="8"/>
      <c r="I173" s="15"/>
      <c r="J173" s="15"/>
      <c r="K173" s="10" t="str">
        <f aca="false">IF(J173&lt;&gt;"",J173,IF(I173="","",I173*IFERROR(INDEX(สินค้า!$G$2:$G$101,MATCH(B173,สินค้า!$A$2:$A$101,0)),0)))</f>
        <v/>
      </c>
      <c r="L173" s="16" t="str">
        <f aca="false">IF(OR(F173="",F173=0,G173=""),"",G173/F173)</f>
        <v/>
      </c>
      <c r="M173" s="16" t="str">
        <f aca="false">IF(OR(G173="",G173=0,H173=""),"",H173/G173)</f>
        <v/>
      </c>
    </row>
    <row r="174" customFormat="false" ht="15" hidden="false" customHeight="false" outlineLevel="0" collapsed="false">
      <c r="A174" s="12"/>
      <c r="B174" s="6"/>
      <c r="C174" s="13" t="str">
        <f aca="false">IF(B174="","",IFERROR(INDEX(สินค้า!$B$2:$B$101,MATCH(B174,สินค้า!$A$2:$A$101,0)),"ไม่พบรหัส"))</f>
        <v/>
      </c>
      <c r="D174" s="14" t="str">
        <f aca="false">IF(B174="","",IFERROR(INDEX(สินค้า!$D$2:$D$101,MATCH(B174,สินค้า!$A$2:$A$101,0)),""))</f>
        <v/>
      </c>
      <c r="E174" s="6"/>
      <c r="F174" s="8"/>
      <c r="G174" s="8"/>
      <c r="H174" s="8"/>
      <c r="I174" s="15"/>
      <c r="J174" s="15"/>
      <c r="K174" s="10" t="str">
        <f aca="false">IF(J174&lt;&gt;"",J174,IF(I174="","",I174*IFERROR(INDEX(สินค้า!$G$2:$G$101,MATCH(B174,สินค้า!$A$2:$A$101,0)),0)))</f>
        <v/>
      </c>
      <c r="L174" s="16" t="str">
        <f aca="false">IF(OR(F174="",F174=0,G174=""),"",G174/F174)</f>
        <v/>
      </c>
      <c r="M174" s="16" t="str">
        <f aca="false">IF(OR(G174="",G174=0,H174=""),"",H174/G174)</f>
        <v/>
      </c>
    </row>
    <row r="175" customFormat="false" ht="15" hidden="false" customHeight="false" outlineLevel="0" collapsed="false">
      <c r="A175" s="12"/>
      <c r="B175" s="6"/>
      <c r="C175" s="13" t="str">
        <f aca="false">IF(B175="","",IFERROR(INDEX(สินค้า!$B$2:$B$101,MATCH(B175,สินค้า!$A$2:$A$101,0)),"ไม่พบรหัส"))</f>
        <v/>
      </c>
      <c r="D175" s="14" t="str">
        <f aca="false">IF(B175="","",IFERROR(INDEX(สินค้า!$D$2:$D$101,MATCH(B175,สินค้า!$A$2:$A$101,0)),""))</f>
        <v/>
      </c>
      <c r="E175" s="6"/>
      <c r="F175" s="8"/>
      <c r="G175" s="8"/>
      <c r="H175" s="8"/>
      <c r="I175" s="15"/>
      <c r="J175" s="15"/>
      <c r="K175" s="10" t="str">
        <f aca="false">IF(J175&lt;&gt;"",J175,IF(I175="","",I175*IFERROR(INDEX(สินค้า!$G$2:$G$101,MATCH(B175,สินค้า!$A$2:$A$101,0)),0)))</f>
        <v/>
      </c>
      <c r="L175" s="16" t="str">
        <f aca="false">IF(OR(F175="",F175=0,G175=""),"",G175/F175)</f>
        <v/>
      </c>
      <c r="M175" s="16" t="str">
        <f aca="false">IF(OR(G175="",G175=0,H175=""),"",H175/G175)</f>
        <v/>
      </c>
    </row>
    <row r="176" customFormat="false" ht="15" hidden="false" customHeight="false" outlineLevel="0" collapsed="false">
      <c r="A176" s="12"/>
      <c r="B176" s="6"/>
      <c r="C176" s="13" t="str">
        <f aca="false">IF(B176="","",IFERROR(INDEX(สินค้า!$B$2:$B$101,MATCH(B176,สินค้า!$A$2:$A$101,0)),"ไม่พบรหัส"))</f>
        <v/>
      </c>
      <c r="D176" s="14" t="str">
        <f aca="false">IF(B176="","",IFERROR(INDEX(สินค้า!$D$2:$D$101,MATCH(B176,สินค้า!$A$2:$A$101,0)),""))</f>
        <v/>
      </c>
      <c r="E176" s="6"/>
      <c r="F176" s="8"/>
      <c r="G176" s="8"/>
      <c r="H176" s="8"/>
      <c r="I176" s="15"/>
      <c r="J176" s="15"/>
      <c r="K176" s="10" t="str">
        <f aca="false">IF(J176&lt;&gt;"",J176,IF(I176="","",I176*IFERROR(INDEX(สินค้า!$G$2:$G$101,MATCH(B176,สินค้า!$A$2:$A$101,0)),0)))</f>
        <v/>
      </c>
      <c r="L176" s="16" t="str">
        <f aca="false">IF(OR(F176="",F176=0,G176=""),"",G176/F176)</f>
        <v/>
      </c>
      <c r="M176" s="16" t="str">
        <f aca="false">IF(OR(G176="",G176=0,H176=""),"",H176/G176)</f>
        <v/>
      </c>
    </row>
    <row r="177" customFormat="false" ht="15" hidden="false" customHeight="false" outlineLevel="0" collapsed="false">
      <c r="A177" s="12"/>
      <c r="B177" s="6"/>
      <c r="C177" s="13" t="str">
        <f aca="false">IF(B177="","",IFERROR(INDEX(สินค้า!$B$2:$B$101,MATCH(B177,สินค้า!$A$2:$A$101,0)),"ไม่พบรหัส"))</f>
        <v/>
      </c>
      <c r="D177" s="14" t="str">
        <f aca="false">IF(B177="","",IFERROR(INDEX(สินค้า!$D$2:$D$101,MATCH(B177,สินค้า!$A$2:$A$101,0)),""))</f>
        <v/>
      </c>
      <c r="E177" s="6"/>
      <c r="F177" s="8"/>
      <c r="G177" s="8"/>
      <c r="H177" s="8"/>
      <c r="I177" s="15"/>
      <c r="J177" s="15"/>
      <c r="K177" s="10" t="str">
        <f aca="false">IF(J177&lt;&gt;"",J177,IF(I177="","",I177*IFERROR(INDEX(สินค้า!$G$2:$G$101,MATCH(B177,สินค้า!$A$2:$A$101,0)),0)))</f>
        <v/>
      </c>
      <c r="L177" s="16" t="str">
        <f aca="false">IF(OR(F177="",F177=0,G177=""),"",G177/F177)</f>
        <v/>
      </c>
      <c r="M177" s="16" t="str">
        <f aca="false">IF(OR(G177="",G177=0,H177=""),"",H177/G177)</f>
        <v/>
      </c>
    </row>
    <row r="178" customFormat="false" ht="15" hidden="false" customHeight="false" outlineLevel="0" collapsed="false">
      <c r="A178" s="12"/>
      <c r="B178" s="6"/>
      <c r="C178" s="13" t="str">
        <f aca="false">IF(B178="","",IFERROR(INDEX(สินค้า!$B$2:$B$101,MATCH(B178,สินค้า!$A$2:$A$101,0)),"ไม่พบรหัส"))</f>
        <v/>
      </c>
      <c r="D178" s="14" t="str">
        <f aca="false">IF(B178="","",IFERROR(INDEX(สินค้า!$D$2:$D$101,MATCH(B178,สินค้า!$A$2:$A$101,0)),""))</f>
        <v/>
      </c>
      <c r="E178" s="6"/>
      <c r="F178" s="8"/>
      <c r="G178" s="8"/>
      <c r="H178" s="8"/>
      <c r="I178" s="15"/>
      <c r="J178" s="15"/>
      <c r="K178" s="10" t="str">
        <f aca="false">IF(J178&lt;&gt;"",J178,IF(I178="","",I178*IFERROR(INDEX(สินค้า!$G$2:$G$101,MATCH(B178,สินค้า!$A$2:$A$101,0)),0)))</f>
        <v/>
      </c>
      <c r="L178" s="16" t="str">
        <f aca="false">IF(OR(F178="",F178=0,G178=""),"",G178/F178)</f>
        <v/>
      </c>
      <c r="M178" s="16" t="str">
        <f aca="false">IF(OR(G178="",G178=0,H178=""),"",H178/G178)</f>
        <v/>
      </c>
    </row>
    <row r="179" customFormat="false" ht="15" hidden="false" customHeight="false" outlineLevel="0" collapsed="false">
      <c r="A179" s="12"/>
      <c r="B179" s="6"/>
      <c r="C179" s="13" t="str">
        <f aca="false">IF(B179="","",IFERROR(INDEX(สินค้า!$B$2:$B$101,MATCH(B179,สินค้า!$A$2:$A$101,0)),"ไม่พบรหัส"))</f>
        <v/>
      </c>
      <c r="D179" s="14" t="str">
        <f aca="false">IF(B179="","",IFERROR(INDEX(สินค้า!$D$2:$D$101,MATCH(B179,สินค้า!$A$2:$A$101,0)),""))</f>
        <v/>
      </c>
      <c r="E179" s="6"/>
      <c r="F179" s="8"/>
      <c r="G179" s="8"/>
      <c r="H179" s="8"/>
      <c r="I179" s="15"/>
      <c r="J179" s="15"/>
      <c r="K179" s="10" t="str">
        <f aca="false">IF(J179&lt;&gt;"",J179,IF(I179="","",I179*IFERROR(INDEX(สินค้า!$G$2:$G$101,MATCH(B179,สินค้า!$A$2:$A$101,0)),0)))</f>
        <v/>
      </c>
      <c r="L179" s="16" t="str">
        <f aca="false">IF(OR(F179="",F179=0,G179=""),"",G179/F179)</f>
        <v/>
      </c>
      <c r="M179" s="16" t="str">
        <f aca="false">IF(OR(G179="",G179=0,H179=""),"",H179/G179)</f>
        <v/>
      </c>
    </row>
    <row r="180" customFormat="false" ht="15" hidden="false" customHeight="false" outlineLevel="0" collapsed="false">
      <c r="A180" s="12"/>
      <c r="B180" s="6"/>
      <c r="C180" s="13" t="str">
        <f aca="false">IF(B180="","",IFERROR(INDEX(สินค้า!$B$2:$B$101,MATCH(B180,สินค้า!$A$2:$A$101,0)),"ไม่พบรหัส"))</f>
        <v/>
      </c>
      <c r="D180" s="14" t="str">
        <f aca="false">IF(B180="","",IFERROR(INDEX(สินค้า!$D$2:$D$101,MATCH(B180,สินค้า!$A$2:$A$101,0)),""))</f>
        <v/>
      </c>
      <c r="E180" s="6"/>
      <c r="F180" s="8"/>
      <c r="G180" s="8"/>
      <c r="H180" s="8"/>
      <c r="I180" s="15"/>
      <c r="J180" s="15"/>
      <c r="K180" s="10" t="str">
        <f aca="false">IF(J180&lt;&gt;"",J180,IF(I180="","",I180*IFERROR(INDEX(สินค้า!$G$2:$G$101,MATCH(B180,สินค้า!$A$2:$A$101,0)),0)))</f>
        <v/>
      </c>
      <c r="L180" s="16" t="str">
        <f aca="false">IF(OR(F180="",F180=0,G180=""),"",G180/F180)</f>
        <v/>
      </c>
      <c r="M180" s="16" t="str">
        <f aca="false">IF(OR(G180="",G180=0,H180=""),"",H180/G180)</f>
        <v/>
      </c>
    </row>
    <row r="181" customFormat="false" ht="15" hidden="false" customHeight="false" outlineLevel="0" collapsed="false">
      <c r="A181" s="12"/>
      <c r="B181" s="6"/>
      <c r="C181" s="13" t="str">
        <f aca="false">IF(B181="","",IFERROR(INDEX(สินค้า!$B$2:$B$101,MATCH(B181,สินค้า!$A$2:$A$101,0)),"ไม่พบรหัส"))</f>
        <v/>
      </c>
      <c r="D181" s="14" t="str">
        <f aca="false">IF(B181="","",IFERROR(INDEX(สินค้า!$D$2:$D$101,MATCH(B181,สินค้า!$A$2:$A$101,0)),""))</f>
        <v/>
      </c>
      <c r="E181" s="6"/>
      <c r="F181" s="8"/>
      <c r="G181" s="8"/>
      <c r="H181" s="8"/>
      <c r="I181" s="15"/>
      <c r="J181" s="15"/>
      <c r="K181" s="10" t="str">
        <f aca="false">IF(J181&lt;&gt;"",J181,IF(I181="","",I181*IFERROR(INDEX(สินค้า!$G$2:$G$101,MATCH(B181,สินค้า!$A$2:$A$101,0)),0)))</f>
        <v/>
      </c>
      <c r="L181" s="16" t="str">
        <f aca="false">IF(OR(F181="",F181=0,G181=""),"",G181/F181)</f>
        <v/>
      </c>
      <c r="M181" s="16" t="str">
        <f aca="false">IF(OR(G181="",G181=0,H181=""),"",H181/G181)</f>
        <v/>
      </c>
    </row>
    <row r="182" customFormat="false" ht="15" hidden="false" customHeight="false" outlineLevel="0" collapsed="false">
      <c r="A182" s="12"/>
      <c r="B182" s="6"/>
      <c r="C182" s="13" t="str">
        <f aca="false">IF(B182="","",IFERROR(INDEX(สินค้า!$B$2:$B$101,MATCH(B182,สินค้า!$A$2:$A$101,0)),"ไม่พบรหัส"))</f>
        <v/>
      </c>
      <c r="D182" s="14" t="str">
        <f aca="false">IF(B182="","",IFERROR(INDEX(สินค้า!$D$2:$D$101,MATCH(B182,สินค้า!$A$2:$A$101,0)),""))</f>
        <v/>
      </c>
      <c r="E182" s="6"/>
      <c r="F182" s="8"/>
      <c r="G182" s="8"/>
      <c r="H182" s="8"/>
      <c r="I182" s="15"/>
      <c r="J182" s="15"/>
      <c r="K182" s="10" t="str">
        <f aca="false">IF(J182&lt;&gt;"",J182,IF(I182="","",I182*IFERROR(INDEX(สินค้า!$G$2:$G$101,MATCH(B182,สินค้า!$A$2:$A$101,0)),0)))</f>
        <v/>
      </c>
      <c r="L182" s="16" t="str">
        <f aca="false">IF(OR(F182="",F182=0,G182=""),"",G182/F182)</f>
        <v/>
      </c>
      <c r="M182" s="16" t="str">
        <f aca="false">IF(OR(G182="",G182=0,H182=""),"",H182/G182)</f>
        <v/>
      </c>
    </row>
    <row r="183" customFormat="false" ht="15" hidden="false" customHeight="false" outlineLevel="0" collapsed="false">
      <c r="A183" s="12"/>
      <c r="B183" s="6"/>
      <c r="C183" s="13" t="str">
        <f aca="false">IF(B183="","",IFERROR(INDEX(สินค้า!$B$2:$B$101,MATCH(B183,สินค้า!$A$2:$A$101,0)),"ไม่พบรหัส"))</f>
        <v/>
      </c>
      <c r="D183" s="14" t="str">
        <f aca="false">IF(B183="","",IFERROR(INDEX(สินค้า!$D$2:$D$101,MATCH(B183,สินค้า!$A$2:$A$101,0)),""))</f>
        <v/>
      </c>
      <c r="E183" s="6"/>
      <c r="F183" s="8"/>
      <c r="G183" s="8"/>
      <c r="H183" s="8"/>
      <c r="I183" s="15"/>
      <c r="J183" s="15"/>
      <c r="K183" s="10" t="str">
        <f aca="false">IF(J183&lt;&gt;"",J183,IF(I183="","",I183*IFERROR(INDEX(สินค้า!$G$2:$G$101,MATCH(B183,สินค้า!$A$2:$A$101,0)),0)))</f>
        <v/>
      </c>
      <c r="L183" s="16" t="str">
        <f aca="false">IF(OR(F183="",F183=0,G183=""),"",G183/F183)</f>
        <v/>
      </c>
      <c r="M183" s="16" t="str">
        <f aca="false">IF(OR(G183="",G183=0,H183=""),"",H183/G183)</f>
        <v/>
      </c>
    </row>
    <row r="184" customFormat="false" ht="15" hidden="false" customHeight="false" outlineLevel="0" collapsed="false">
      <c r="A184" s="12"/>
      <c r="B184" s="6"/>
      <c r="C184" s="13" t="str">
        <f aca="false">IF(B184="","",IFERROR(INDEX(สินค้า!$B$2:$B$101,MATCH(B184,สินค้า!$A$2:$A$101,0)),"ไม่พบรหัส"))</f>
        <v/>
      </c>
      <c r="D184" s="14" t="str">
        <f aca="false">IF(B184="","",IFERROR(INDEX(สินค้า!$D$2:$D$101,MATCH(B184,สินค้า!$A$2:$A$101,0)),""))</f>
        <v/>
      </c>
      <c r="E184" s="6"/>
      <c r="F184" s="8"/>
      <c r="G184" s="8"/>
      <c r="H184" s="8"/>
      <c r="I184" s="15"/>
      <c r="J184" s="15"/>
      <c r="K184" s="10" t="str">
        <f aca="false">IF(J184&lt;&gt;"",J184,IF(I184="","",I184*IFERROR(INDEX(สินค้า!$G$2:$G$101,MATCH(B184,สินค้า!$A$2:$A$101,0)),0)))</f>
        <v/>
      </c>
      <c r="L184" s="16" t="str">
        <f aca="false">IF(OR(F184="",F184=0,G184=""),"",G184/F184)</f>
        <v/>
      </c>
      <c r="M184" s="16" t="str">
        <f aca="false">IF(OR(G184="",G184=0,H184=""),"",H184/G184)</f>
        <v/>
      </c>
    </row>
    <row r="185" customFormat="false" ht="15" hidden="false" customHeight="false" outlineLevel="0" collapsed="false">
      <c r="A185" s="12"/>
      <c r="B185" s="6"/>
      <c r="C185" s="13" t="str">
        <f aca="false">IF(B185="","",IFERROR(INDEX(สินค้า!$B$2:$B$101,MATCH(B185,สินค้า!$A$2:$A$101,0)),"ไม่พบรหัส"))</f>
        <v/>
      </c>
      <c r="D185" s="14" t="str">
        <f aca="false">IF(B185="","",IFERROR(INDEX(สินค้า!$D$2:$D$101,MATCH(B185,สินค้า!$A$2:$A$101,0)),""))</f>
        <v/>
      </c>
      <c r="E185" s="6"/>
      <c r="F185" s="8"/>
      <c r="G185" s="8"/>
      <c r="H185" s="8"/>
      <c r="I185" s="15"/>
      <c r="J185" s="15"/>
      <c r="K185" s="10" t="str">
        <f aca="false">IF(J185&lt;&gt;"",J185,IF(I185="","",I185*IFERROR(INDEX(สินค้า!$G$2:$G$101,MATCH(B185,สินค้า!$A$2:$A$101,0)),0)))</f>
        <v/>
      </c>
      <c r="L185" s="16" t="str">
        <f aca="false">IF(OR(F185="",F185=0,G185=""),"",G185/F185)</f>
        <v/>
      </c>
      <c r="M185" s="16" t="str">
        <f aca="false">IF(OR(G185="",G185=0,H185=""),"",H185/G185)</f>
        <v/>
      </c>
    </row>
    <row r="186" customFormat="false" ht="15" hidden="false" customHeight="false" outlineLevel="0" collapsed="false">
      <c r="A186" s="12"/>
      <c r="B186" s="6"/>
      <c r="C186" s="13" t="str">
        <f aca="false">IF(B186="","",IFERROR(INDEX(สินค้า!$B$2:$B$101,MATCH(B186,สินค้า!$A$2:$A$101,0)),"ไม่พบรหัส"))</f>
        <v/>
      </c>
      <c r="D186" s="14" t="str">
        <f aca="false">IF(B186="","",IFERROR(INDEX(สินค้า!$D$2:$D$101,MATCH(B186,สินค้า!$A$2:$A$101,0)),""))</f>
        <v/>
      </c>
      <c r="E186" s="6"/>
      <c r="F186" s="8"/>
      <c r="G186" s="8"/>
      <c r="H186" s="8"/>
      <c r="I186" s="15"/>
      <c r="J186" s="15"/>
      <c r="K186" s="10" t="str">
        <f aca="false">IF(J186&lt;&gt;"",J186,IF(I186="","",I186*IFERROR(INDEX(สินค้า!$G$2:$G$101,MATCH(B186,สินค้า!$A$2:$A$101,0)),0)))</f>
        <v/>
      </c>
      <c r="L186" s="16" t="str">
        <f aca="false">IF(OR(F186="",F186=0,G186=""),"",G186/F186)</f>
        <v/>
      </c>
      <c r="M186" s="16" t="str">
        <f aca="false">IF(OR(G186="",G186=0,H186=""),"",H186/G186)</f>
        <v/>
      </c>
    </row>
    <row r="187" customFormat="false" ht="15" hidden="false" customHeight="false" outlineLevel="0" collapsed="false">
      <c r="A187" s="12"/>
      <c r="B187" s="6"/>
      <c r="C187" s="13" t="str">
        <f aca="false">IF(B187="","",IFERROR(INDEX(สินค้า!$B$2:$B$101,MATCH(B187,สินค้า!$A$2:$A$101,0)),"ไม่พบรหัส"))</f>
        <v/>
      </c>
      <c r="D187" s="14" t="str">
        <f aca="false">IF(B187="","",IFERROR(INDEX(สินค้า!$D$2:$D$101,MATCH(B187,สินค้า!$A$2:$A$101,0)),""))</f>
        <v/>
      </c>
      <c r="E187" s="6"/>
      <c r="F187" s="8"/>
      <c r="G187" s="8"/>
      <c r="H187" s="8"/>
      <c r="I187" s="15"/>
      <c r="J187" s="15"/>
      <c r="K187" s="10" t="str">
        <f aca="false">IF(J187&lt;&gt;"",J187,IF(I187="","",I187*IFERROR(INDEX(สินค้า!$G$2:$G$101,MATCH(B187,สินค้า!$A$2:$A$101,0)),0)))</f>
        <v/>
      </c>
      <c r="L187" s="16" t="str">
        <f aca="false">IF(OR(F187="",F187=0,G187=""),"",G187/F187)</f>
        <v/>
      </c>
      <c r="M187" s="16" t="str">
        <f aca="false">IF(OR(G187="",G187=0,H187=""),"",H187/G187)</f>
        <v/>
      </c>
    </row>
    <row r="188" customFormat="false" ht="15" hidden="false" customHeight="false" outlineLevel="0" collapsed="false">
      <c r="A188" s="12"/>
      <c r="B188" s="6"/>
      <c r="C188" s="13" t="str">
        <f aca="false">IF(B188="","",IFERROR(INDEX(สินค้า!$B$2:$B$101,MATCH(B188,สินค้า!$A$2:$A$101,0)),"ไม่พบรหัส"))</f>
        <v/>
      </c>
      <c r="D188" s="14" t="str">
        <f aca="false">IF(B188="","",IFERROR(INDEX(สินค้า!$D$2:$D$101,MATCH(B188,สินค้า!$A$2:$A$101,0)),""))</f>
        <v/>
      </c>
      <c r="E188" s="6"/>
      <c r="F188" s="8"/>
      <c r="G188" s="8"/>
      <c r="H188" s="8"/>
      <c r="I188" s="15"/>
      <c r="J188" s="15"/>
      <c r="K188" s="10" t="str">
        <f aca="false">IF(J188&lt;&gt;"",J188,IF(I188="","",I188*IFERROR(INDEX(สินค้า!$G$2:$G$101,MATCH(B188,สินค้า!$A$2:$A$101,0)),0)))</f>
        <v/>
      </c>
      <c r="L188" s="16" t="str">
        <f aca="false">IF(OR(F188="",F188=0,G188=""),"",G188/F188)</f>
        <v/>
      </c>
      <c r="M188" s="16" t="str">
        <f aca="false">IF(OR(G188="",G188=0,H188=""),"",H188/G188)</f>
        <v/>
      </c>
    </row>
    <row r="189" customFormat="false" ht="15" hidden="false" customHeight="false" outlineLevel="0" collapsed="false">
      <c r="A189" s="12"/>
      <c r="B189" s="6"/>
      <c r="C189" s="13" t="str">
        <f aca="false">IF(B189="","",IFERROR(INDEX(สินค้า!$B$2:$B$101,MATCH(B189,สินค้า!$A$2:$A$101,0)),"ไม่พบรหัส"))</f>
        <v/>
      </c>
      <c r="D189" s="14" t="str">
        <f aca="false">IF(B189="","",IFERROR(INDEX(สินค้า!$D$2:$D$101,MATCH(B189,สินค้า!$A$2:$A$101,0)),""))</f>
        <v/>
      </c>
      <c r="E189" s="6"/>
      <c r="F189" s="8"/>
      <c r="G189" s="8"/>
      <c r="H189" s="8"/>
      <c r="I189" s="15"/>
      <c r="J189" s="15"/>
      <c r="K189" s="10" t="str">
        <f aca="false">IF(J189&lt;&gt;"",J189,IF(I189="","",I189*IFERROR(INDEX(สินค้า!$G$2:$G$101,MATCH(B189,สินค้า!$A$2:$A$101,0)),0)))</f>
        <v/>
      </c>
      <c r="L189" s="16" t="str">
        <f aca="false">IF(OR(F189="",F189=0,G189=""),"",G189/F189)</f>
        <v/>
      </c>
      <c r="M189" s="16" t="str">
        <f aca="false">IF(OR(G189="",G189=0,H189=""),"",H189/G189)</f>
        <v/>
      </c>
    </row>
    <row r="190" customFormat="false" ht="15" hidden="false" customHeight="false" outlineLevel="0" collapsed="false">
      <c r="A190" s="12"/>
      <c r="B190" s="6"/>
      <c r="C190" s="13" t="str">
        <f aca="false">IF(B190="","",IFERROR(INDEX(สินค้า!$B$2:$B$101,MATCH(B190,สินค้า!$A$2:$A$101,0)),"ไม่พบรหัส"))</f>
        <v/>
      </c>
      <c r="D190" s="14" t="str">
        <f aca="false">IF(B190="","",IFERROR(INDEX(สินค้า!$D$2:$D$101,MATCH(B190,สินค้า!$A$2:$A$101,0)),""))</f>
        <v/>
      </c>
      <c r="E190" s="6"/>
      <c r="F190" s="8"/>
      <c r="G190" s="8"/>
      <c r="H190" s="8"/>
      <c r="I190" s="15"/>
      <c r="J190" s="15"/>
      <c r="K190" s="10" t="str">
        <f aca="false">IF(J190&lt;&gt;"",J190,IF(I190="","",I190*IFERROR(INDEX(สินค้า!$G$2:$G$101,MATCH(B190,สินค้า!$A$2:$A$101,0)),0)))</f>
        <v/>
      </c>
      <c r="L190" s="16" t="str">
        <f aca="false">IF(OR(F190="",F190=0,G190=""),"",G190/F190)</f>
        <v/>
      </c>
      <c r="M190" s="16" t="str">
        <f aca="false">IF(OR(G190="",G190=0,H190=""),"",H190/G190)</f>
        <v/>
      </c>
    </row>
    <row r="191" customFormat="false" ht="15" hidden="false" customHeight="false" outlineLevel="0" collapsed="false">
      <c r="A191" s="12"/>
      <c r="B191" s="6"/>
      <c r="C191" s="13" t="str">
        <f aca="false">IF(B191="","",IFERROR(INDEX(สินค้า!$B$2:$B$101,MATCH(B191,สินค้า!$A$2:$A$101,0)),"ไม่พบรหัส"))</f>
        <v/>
      </c>
      <c r="D191" s="14" t="str">
        <f aca="false">IF(B191="","",IFERROR(INDEX(สินค้า!$D$2:$D$101,MATCH(B191,สินค้า!$A$2:$A$101,0)),""))</f>
        <v/>
      </c>
      <c r="E191" s="6"/>
      <c r="F191" s="8"/>
      <c r="G191" s="8"/>
      <c r="H191" s="8"/>
      <c r="I191" s="15"/>
      <c r="J191" s="15"/>
      <c r="K191" s="10" t="str">
        <f aca="false">IF(J191&lt;&gt;"",J191,IF(I191="","",I191*IFERROR(INDEX(สินค้า!$G$2:$G$101,MATCH(B191,สินค้า!$A$2:$A$101,0)),0)))</f>
        <v/>
      </c>
      <c r="L191" s="16" t="str">
        <f aca="false">IF(OR(F191="",F191=0,G191=""),"",G191/F191)</f>
        <v/>
      </c>
      <c r="M191" s="16" t="str">
        <f aca="false">IF(OR(G191="",G191=0,H191=""),"",H191/G191)</f>
        <v/>
      </c>
    </row>
    <row r="192" customFormat="false" ht="15" hidden="false" customHeight="false" outlineLevel="0" collapsed="false">
      <c r="A192" s="12"/>
      <c r="B192" s="6"/>
      <c r="C192" s="13" t="str">
        <f aca="false">IF(B192="","",IFERROR(INDEX(สินค้า!$B$2:$B$101,MATCH(B192,สินค้า!$A$2:$A$101,0)),"ไม่พบรหัส"))</f>
        <v/>
      </c>
      <c r="D192" s="14" t="str">
        <f aca="false">IF(B192="","",IFERROR(INDEX(สินค้า!$D$2:$D$101,MATCH(B192,สินค้า!$A$2:$A$101,0)),""))</f>
        <v/>
      </c>
      <c r="E192" s="6"/>
      <c r="F192" s="8"/>
      <c r="G192" s="8"/>
      <c r="H192" s="8"/>
      <c r="I192" s="15"/>
      <c r="J192" s="15"/>
      <c r="K192" s="10" t="str">
        <f aca="false">IF(J192&lt;&gt;"",J192,IF(I192="","",I192*IFERROR(INDEX(สินค้า!$G$2:$G$101,MATCH(B192,สินค้า!$A$2:$A$101,0)),0)))</f>
        <v/>
      </c>
      <c r="L192" s="16" t="str">
        <f aca="false">IF(OR(F192="",F192=0,G192=""),"",G192/F192)</f>
        <v/>
      </c>
      <c r="M192" s="16" t="str">
        <f aca="false">IF(OR(G192="",G192=0,H192=""),"",H192/G192)</f>
        <v/>
      </c>
    </row>
    <row r="193" customFormat="false" ht="15" hidden="false" customHeight="false" outlineLevel="0" collapsed="false">
      <c r="A193" s="12"/>
      <c r="B193" s="6"/>
      <c r="C193" s="13" t="str">
        <f aca="false">IF(B193="","",IFERROR(INDEX(สินค้า!$B$2:$B$101,MATCH(B193,สินค้า!$A$2:$A$101,0)),"ไม่พบรหัส"))</f>
        <v/>
      </c>
      <c r="D193" s="14" t="str">
        <f aca="false">IF(B193="","",IFERROR(INDEX(สินค้า!$D$2:$D$101,MATCH(B193,สินค้า!$A$2:$A$101,0)),""))</f>
        <v/>
      </c>
      <c r="E193" s="6"/>
      <c r="F193" s="8"/>
      <c r="G193" s="8"/>
      <c r="H193" s="8"/>
      <c r="I193" s="15"/>
      <c r="J193" s="15"/>
      <c r="K193" s="10" t="str">
        <f aca="false">IF(J193&lt;&gt;"",J193,IF(I193="","",I193*IFERROR(INDEX(สินค้า!$G$2:$G$101,MATCH(B193,สินค้า!$A$2:$A$101,0)),0)))</f>
        <v/>
      </c>
      <c r="L193" s="16" t="str">
        <f aca="false">IF(OR(F193="",F193=0,G193=""),"",G193/F193)</f>
        <v/>
      </c>
      <c r="M193" s="16" t="str">
        <f aca="false">IF(OR(G193="",G193=0,H193=""),"",H193/G193)</f>
        <v/>
      </c>
    </row>
    <row r="194" customFormat="false" ht="15" hidden="false" customHeight="false" outlineLevel="0" collapsed="false">
      <c r="A194" s="12"/>
      <c r="B194" s="6"/>
      <c r="C194" s="13" t="str">
        <f aca="false">IF(B194="","",IFERROR(INDEX(สินค้า!$B$2:$B$101,MATCH(B194,สินค้า!$A$2:$A$101,0)),"ไม่พบรหัส"))</f>
        <v/>
      </c>
      <c r="D194" s="14" t="str">
        <f aca="false">IF(B194="","",IFERROR(INDEX(สินค้า!$D$2:$D$101,MATCH(B194,สินค้า!$A$2:$A$101,0)),""))</f>
        <v/>
      </c>
      <c r="E194" s="6"/>
      <c r="F194" s="8"/>
      <c r="G194" s="8"/>
      <c r="H194" s="8"/>
      <c r="I194" s="15"/>
      <c r="J194" s="15"/>
      <c r="K194" s="10" t="str">
        <f aca="false">IF(J194&lt;&gt;"",J194,IF(I194="","",I194*IFERROR(INDEX(สินค้า!$G$2:$G$101,MATCH(B194,สินค้า!$A$2:$A$101,0)),0)))</f>
        <v/>
      </c>
      <c r="L194" s="16" t="str">
        <f aca="false">IF(OR(F194="",F194=0,G194=""),"",G194/F194)</f>
        <v/>
      </c>
      <c r="M194" s="16" t="str">
        <f aca="false">IF(OR(G194="",G194=0,H194=""),"",H194/G194)</f>
        <v/>
      </c>
    </row>
    <row r="195" customFormat="false" ht="15" hidden="false" customHeight="false" outlineLevel="0" collapsed="false">
      <c r="A195" s="12"/>
      <c r="B195" s="6"/>
      <c r="C195" s="13" t="str">
        <f aca="false">IF(B195="","",IFERROR(INDEX(สินค้า!$B$2:$B$101,MATCH(B195,สินค้า!$A$2:$A$101,0)),"ไม่พบรหัส"))</f>
        <v/>
      </c>
      <c r="D195" s="14" t="str">
        <f aca="false">IF(B195="","",IFERROR(INDEX(สินค้า!$D$2:$D$101,MATCH(B195,สินค้า!$A$2:$A$101,0)),""))</f>
        <v/>
      </c>
      <c r="E195" s="6"/>
      <c r="F195" s="8"/>
      <c r="G195" s="8"/>
      <c r="H195" s="8"/>
      <c r="I195" s="15"/>
      <c r="J195" s="15"/>
      <c r="K195" s="10" t="str">
        <f aca="false">IF(J195&lt;&gt;"",J195,IF(I195="","",I195*IFERROR(INDEX(สินค้า!$G$2:$G$101,MATCH(B195,สินค้า!$A$2:$A$101,0)),0)))</f>
        <v/>
      </c>
      <c r="L195" s="16" t="str">
        <f aca="false">IF(OR(F195="",F195=0,G195=""),"",G195/F195)</f>
        <v/>
      </c>
      <c r="M195" s="16" t="str">
        <f aca="false">IF(OR(G195="",G195=0,H195=""),"",H195/G195)</f>
        <v/>
      </c>
    </row>
    <row r="196" customFormat="false" ht="15" hidden="false" customHeight="false" outlineLevel="0" collapsed="false">
      <c r="A196" s="12"/>
      <c r="B196" s="6"/>
      <c r="C196" s="13" t="str">
        <f aca="false">IF(B196="","",IFERROR(INDEX(สินค้า!$B$2:$B$101,MATCH(B196,สินค้า!$A$2:$A$101,0)),"ไม่พบรหัส"))</f>
        <v/>
      </c>
      <c r="D196" s="14" t="str">
        <f aca="false">IF(B196="","",IFERROR(INDEX(สินค้า!$D$2:$D$101,MATCH(B196,สินค้า!$A$2:$A$101,0)),""))</f>
        <v/>
      </c>
      <c r="E196" s="6"/>
      <c r="F196" s="8"/>
      <c r="G196" s="8"/>
      <c r="H196" s="8"/>
      <c r="I196" s="15"/>
      <c r="J196" s="15"/>
      <c r="K196" s="10" t="str">
        <f aca="false">IF(J196&lt;&gt;"",J196,IF(I196="","",I196*IFERROR(INDEX(สินค้า!$G$2:$G$101,MATCH(B196,สินค้า!$A$2:$A$101,0)),0)))</f>
        <v/>
      </c>
      <c r="L196" s="16" t="str">
        <f aca="false">IF(OR(F196="",F196=0,G196=""),"",G196/F196)</f>
        <v/>
      </c>
      <c r="M196" s="16" t="str">
        <f aca="false">IF(OR(G196="",G196=0,H196=""),"",H196/G196)</f>
        <v/>
      </c>
    </row>
    <row r="197" customFormat="false" ht="15" hidden="false" customHeight="false" outlineLevel="0" collapsed="false">
      <c r="A197" s="12"/>
      <c r="B197" s="6"/>
      <c r="C197" s="13" t="str">
        <f aca="false">IF(B197="","",IFERROR(INDEX(สินค้า!$B$2:$B$101,MATCH(B197,สินค้า!$A$2:$A$101,0)),"ไม่พบรหัส"))</f>
        <v/>
      </c>
      <c r="D197" s="14" t="str">
        <f aca="false">IF(B197="","",IFERROR(INDEX(สินค้า!$D$2:$D$101,MATCH(B197,สินค้า!$A$2:$A$101,0)),""))</f>
        <v/>
      </c>
      <c r="E197" s="6"/>
      <c r="F197" s="8"/>
      <c r="G197" s="8"/>
      <c r="H197" s="8"/>
      <c r="I197" s="15"/>
      <c r="J197" s="15"/>
      <c r="K197" s="10" t="str">
        <f aca="false">IF(J197&lt;&gt;"",J197,IF(I197="","",I197*IFERROR(INDEX(สินค้า!$G$2:$G$101,MATCH(B197,สินค้า!$A$2:$A$101,0)),0)))</f>
        <v/>
      </c>
      <c r="L197" s="16" t="str">
        <f aca="false">IF(OR(F197="",F197=0,G197=""),"",G197/F197)</f>
        <v/>
      </c>
      <c r="M197" s="16" t="str">
        <f aca="false">IF(OR(G197="",G197=0,H197=""),"",H197/G197)</f>
        <v/>
      </c>
    </row>
    <row r="198" customFormat="false" ht="15" hidden="false" customHeight="false" outlineLevel="0" collapsed="false">
      <c r="A198" s="12"/>
      <c r="B198" s="6"/>
      <c r="C198" s="13" t="str">
        <f aca="false">IF(B198="","",IFERROR(INDEX(สินค้า!$B$2:$B$101,MATCH(B198,สินค้า!$A$2:$A$101,0)),"ไม่พบรหัส"))</f>
        <v/>
      </c>
      <c r="D198" s="14" t="str">
        <f aca="false">IF(B198="","",IFERROR(INDEX(สินค้า!$D$2:$D$101,MATCH(B198,สินค้า!$A$2:$A$101,0)),""))</f>
        <v/>
      </c>
      <c r="E198" s="6"/>
      <c r="F198" s="8"/>
      <c r="G198" s="8"/>
      <c r="H198" s="8"/>
      <c r="I198" s="15"/>
      <c r="J198" s="15"/>
      <c r="K198" s="10" t="str">
        <f aca="false">IF(J198&lt;&gt;"",J198,IF(I198="","",I198*IFERROR(INDEX(สินค้า!$G$2:$G$101,MATCH(B198,สินค้า!$A$2:$A$101,0)),0)))</f>
        <v/>
      </c>
      <c r="L198" s="16" t="str">
        <f aca="false">IF(OR(F198="",F198=0,G198=""),"",G198/F198)</f>
        <v/>
      </c>
      <c r="M198" s="16" t="str">
        <f aca="false">IF(OR(G198="",G198=0,H198=""),"",H198/G198)</f>
        <v/>
      </c>
    </row>
    <row r="199" customFormat="false" ht="15" hidden="false" customHeight="false" outlineLevel="0" collapsed="false">
      <c r="A199" s="12"/>
      <c r="B199" s="6"/>
      <c r="C199" s="13" t="str">
        <f aca="false">IF(B199="","",IFERROR(INDEX(สินค้า!$B$2:$B$101,MATCH(B199,สินค้า!$A$2:$A$101,0)),"ไม่พบรหัส"))</f>
        <v/>
      </c>
      <c r="D199" s="14" t="str">
        <f aca="false">IF(B199="","",IFERROR(INDEX(สินค้า!$D$2:$D$101,MATCH(B199,สินค้า!$A$2:$A$101,0)),""))</f>
        <v/>
      </c>
      <c r="E199" s="6"/>
      <c r="F199" s="8"/>
      <c r="G199" s="8"/>
      <c r="H199" s="8"/>
      <c r="I199" s="15"/>
      <c r="J199" s="15"/>
      <c r="K199" s="10" t="str">
        <f aca="false">IF(J199&lt;&gt;"",J199,IF(I199="","",I199*IFERROR(INDEX(สินค้า!$G$2:$G$101,MATCH(B199,สินค้า!$A$2:$A$101,0)),0)))</f>
        <v/>
      </c>
      <c r="L199" s="16" t="str">
        <f aca="false">IF(OR(F199="",F199=0,G199=""),"",G199/F199)</f>
        <v/>
      </c>
      <c r="M199" s="16" t="str">
        <f aca="false">IF(OR(G199="",G199=0,H199=""),"",H199/G199)</f>
        <v/>
      </c>
    </row>
    <row r="200" customFormat="false" ht="15" hidden="false" customHeight="false" outlineLevel="0" collapsed="false">
      <c r="A200" s="12"/>
      <c r="B200" s="6"/>
      <c r="C200" s="13" t="str">
        <f aca="false">IF(B200="","",IFERROR(INDEX(สินค้า!$B$2:$B$101,MATCH(B200,สินค้า!$A$2:$A$101,0)),"ไม่พบรหัส"))</f>
        <v/>
      </c>
      <c r="D200" s="14" t="str">
        <f aca="false">IF(B200="","",IFERROR(INDEX(สินค้า!$D$2:$D$101,MATCH(B200,สินค้า!$A$2:$A$101,0)),""))</f>
        <v/>
      </c>
      <c r="E200" s="6"/>
      <c r="F200" s="8"/>
      <c r="G200" s="8"/>
      <c r="H200" s="8"/>
      <c r="I200" s="15"/>
      <c r="J200" s="15"/>
      <c r="K200" s="10" t="str">
        <f aca="false">IF(J200&lt;&gt;"",J200,IF(I200="","",I200*IFERROR(INDEX(สินค้า!$G$2:$G$101,MATCH(B200,สินค้า!$A$2:$A$101,0)),0)))</f>
        <v/>
      </c>
      <c r="L200" s="16" t="str">
        <f aca="false">IF(OR(F200="",F200=0,G200=""),"",G200/F200)</f>
        <v/>
      </c>
      <c r="M200" s="16" t="str">
        <f aca="false">IF(OR(G200="",G200=0,H200=""),"",H200/G200)</f>
        <v/>
      </c>
    </row>
    <row r="201" customFormat="false" ht="15" hidden="false" customHeight="false" outlineLevel="0" collapsed="false">
      <c r="A201" s="12"/>
      <c r="B201" s="6"/>
      <c r="C201" s="13" t="str">
        <f aca="false">IF(B201="","",IFERROR(INDEX(สินค้า!$B$2:$B$101,MATCH(B201,สินค้า!$A$2:$A$101,0)),"ไม่พบรหัส"))</f>
        <v/>
      </c>
      <c r="D201" s="14" t="str">
        <f aca="false">IF(B201="","",IFERROR(INDEX(สินค้า!$D$2:$D$101,MATCH(B201,สินค้า!$A$2:$A$101,0)),""))</f>
        <v/>
      </c>
      <c r="E201" s="6"/>
      <c r="F201" s="8"/>
      <c r="G201" s="8"/>
      <c r="H201" s="8"/>
      <c r="I201" s="15"/>
      <c r="J201" s="15"/>
      <c r="K201" s="10" t="str">
        <f aca="false">IF(J201&lt;&gt;"",J201,IF(I201="","",I201*IFERROR(INDEX(สินค้า!$G$2:$G$101,MATCH(B201,สินค้า!$A$2:$A$101,0)),0)))</f>
        <v/>
      </c>
      <c r="L201" s="16" t="str">
        <f aca="false">IF(OR(F201="",F201=0,G201=""),"",G201/F201)</f>
        <v/>
      </c>
      <c r="M201" s="16" t="str">
        <f aca="false">IF(OR(G201="",G201=0,H201=""),"",H201/G201)</f>
        <v/>
      </c>
    </row>
    <row r="202" customFormat="false" ht="15" hidden="false" customHeight="false" outlineLevel="0" collapsed="false">
      <c r="A202" s="12"/>
      <c r="B202" s="6"/>
      <c r="C202" s="13" t="str">
        <f aca="false">IF(B202="","",IFERROR(INDEX(สินค้า!$B$2:$B$101,MATCH(B202,สินค้า!$A$2:$A$101,0)),"ไม่พบรหัส"))</f>
        <v/>
      </c>
      <c r="D202" s="14" t="str">
        <f aca="false">IF(B202="","",IFERROR(INDEX(สินค้า!$D$2:$D$101,MATCH(B202,สินค้า!$A$2:$A$101,0)),""))</f>
        <v/>
      </c>
      <c r="E202" s="6"/>
      <c r="F202" s="8"/>
      <c r="G202" s="8"/>
      <c r="H202" s="8"/>
      <c r="I202" s="15"/>
      <c r="J202" s="15"/>
      <c r="K202" s="10" t="str">
        <f aca="false">IF(J202&lt;&gt;"",J202,IF(I202="","",I202*IFERROR(INDEX(สินค้า!$G$2:$G$101,MATCH(B202,สินค้า!$A$2:$A$101,0)),0)))</f>
        <v/>
      </c>
      <c r="L202" s="16" t="str">
        <f aca="false">IF(OR(F202="",F202=0,G202=""),"",G202/F202)</f>
        <v/>
      </c>
      <c r="M202" s="16" t="str">
        <f aca="false">IF(OR(G202="",G202=0,H202=""),"",H202/G202)</f>
        <v/>
      </c>
    </row>
    <row r="203" customFormat="false" ht="15" hidden="false" customHeight="false" outlineLevel="0" collapsed="false">
      <c r="A203" s="12"/>
      <c r="B203" s="6"/>
      <c r="C203" s="13" t="str">
        <f aca="false">IF(B203="","",IFERROR(INDEX(สินค้า!$B$2:$B$101,MATCH(B203,สินค้า!$A$2:$A$101,0)),"ไม่พบรหัส"))</f>
        <v/>
      </c>
      <c r="D203" s="14" t="str">
        <f aca="false">IF(B203="","",IFERROR(INDEX(สินค้า!$D$2:$D$101,MATCH(B203,สินค้า!$A$2:$A$101,0)),""))</f>
        <v/>
      </c>
      <c r="E203" s="6"/>
      <c r="F203" s="8"/>
      <c r="G203" s="8"/>
      <c r="H203" s="8"/>
      <c r="I203" s="15"/>
      <c r="J203" s="15"/>
      <c r="K203" s="10" t="str">
        <f aca="false">IF(J203&lt;&gt;"",J203,IF(I203="","",I203*IFERROR(INDEX(สินค้า!$G$2:$G$101,MATCH(B203,สินค้า!$A$2:$A$101,0)),0)))</f>
        <v/>
      </c>
      <c r="L203" s="16" t="str">
        <f aca="false">IF(OR(F203="",F203=0,G203=""),"",G203/F203)</f>
        <v/>
      </c>
      <c r="M203" s="16" t="str">
        <f aca="false">IF(OR(G203="",G203=0,H203=""),"",H203/G203)</f>
        <v/>
      </c>
    </row>
    <row r="204" customFormat="false" ht="15" hidden="false" customHeight="false" outlineLevel="0" collapsed="false">
      <c r="A204" s="12"/>
      <c r="B204" s="6"/>
      <c r="C204" s="13" t="str">
        <f aca="false">IF(B204="","",IFERROR(INDEX(สินค้า!$B$2:$B$101,MATCH(B204,สินค้า!$A$2:$A$101,0)),"ไม่พบรหัส"))</f>
        <v/>
      </c>
      <c r="D204" s="14" t="str">
        <f aca="false">IF(B204="","",IFERROR(INDEX(สินค้า!$D$2:$D$101,MATCH(B204,สินค้า!$A$2:$A$101,0)),""))</f>
        <v/>
      </c>
      <c r="E204" s="6"/>
      <c r="F204" s="8"/>
      <c r="G204" s="8"/>
      <c r="H204" s="8"/>
      <c r="I204" s="15"/>
      <c r="J204" s="15"/>
      <c r="K204" s="10" t="str">
        <f aca="false">IF(J204&lt;&gt;"",J204,IF(I204="","",I204*IFERROR(INDEX(สินค้า!$G$2:$G$101,MATCH(B204,สินค้า!$A$2:$A$101,0)),0)))</f>
        <v/>
      </c>
      <c r="L204" s="16" t="str">
        <f aca="false">IF(OR(F204="",F204=0,G204=""),"",G204/F204)</f>
        <v/>
      </c>
      <c r="M204" s="16" t="str">
        <f aca="false">IF(OR(G204="",G204=0,H204=""),"",H204/G204)</f>
        <v/>
      </c>
    </row>
    <row r="205" customFormat="false" ht="15" hidden="false" customHeight="false" outlineLevel="0" collapsed="false">
      <c r="A205" s="12"/>
      <c r="B205" s="6"/>
      <c r="C205" s="13" t="str">
        <f aca="false">IF(B205="","",IFERROR(INDEX(สินค้า!$B$2:$B$101,MATCH(B205,สินค้า!$A$2:$A$101,0)),"ไม่พบรหัส"))</f>
        <v/>
      </c>
      <c r="D205" s="14" t="str">
        <f aca="false">IF(B205="","",IFERROR(INDEX(สินค้า!$D$2:$D$101,MATCH(B205,สินค้า!$A$2:$A$101,0)),""))</f>
        <v/>
      </c>
      <c r="E205" s="6"/>
      <c r="F205" s="8"/>
      <c r="G205" s="8"/>
      <c r="H205" s="8"/>
      <c r="I205" s="15"/>
      <c r="J205" s="15"/>
      <c r="K205" s="10" t="str">
        <f aca="false">IF(J205&lt;&gt;"",J205,IF(I205="","",I205*IFERROR(INDEX(สินค้า!$G$2:$G$101,MATCH(B205,สินค้า!$A$2:$A$101,0)),0)))</f>
        <v/>
      </c>
      <c r="L205" s="16" t="str">
        <f aca="false">IF(OR(F205="",F205=0,G205=""),"",G205/F205)</f>
        <v/>
      </c>
      <c r="M205" s="16" t="str">
        <f aca="false">IF(OR(G205="",G205=0,H205=""),"",H205/G205)</f>
        <v/>
      </c>
    </row>
    <row r="206" customFormat="false" ht="15" hidden="false" customHeight="false" outlineLevel="0" collapsed="false">
      <c r="A206" s="12"/>
      <c r="B206" s="6"/>
      <c r="C206" s="13" t="str">
        <f aca="false">IF(B206="","",IFERROR(INDEX(สินค้า!$B$2:$B$101,MATCH(B206,สินค้า!$A$2:$A$101,0)),"ไม่พบรหัส"))</f>
        <v/>
      </c>
      <c r="D206" s="14" t="str">
        <f aca="false">IF(B206="","",IFERROR(INDEX(สินค้า!$D$2:$D$101,MATCH(B206,สินค้า!$A$2:$A$101,0)),""))</f>
        <v/>
      </c>
      <c r="E206" s="6"/>
      <c r="F206" s="8"/>
      <c r="G206" s="8"/>
      <c r="H206" s="8"/>
      <c r="I206" s="15"/>
      <c r="J206" s="15"/>
      <c r="K206" s="10" t="str">
        <f aca="false">IF(J206&lt;&gt;"",J206,IF(I206="","",I206*IFERROR(INDEX(สินค้า!$G$2:$G$101,MATCH(B206,สินค้า!$A$2:$A$101,0)),0)))</f>
        <v/>
      </c>
      <c r="L206" s="16" t="str">
        <f aca="false">IF(OR(F206="",F206=0,G206=""),"",G206/F206)</f>
        <v/>
      </c>
      <c r="M206" s="16" t="str">
        <f aca="false">IF(OR(G206="",G206=0,H206=""),"",H206/G206)</f>
        <v/>
      </c>
    </row>
    <row r="207" customFormat="false" ht="15" hidden="false" customHeight="false" outlineLevel="0" collapsed="false">
      <c r="A207" s="12"/>
      <c r="B207" s="6"/>
      <c r="C207" s="13" t="str">
        <f aca="false">IF(B207="","",IFERROR(INDEX(สินค้า!$B$2:$B$101,MATCH(B207,สินค้า!$A$2:$A$101,0)),"ไม่พบรหัส"))</f>
        <v/>
      </c>
      <c r="D207" s="14" t="str">
        <f aca="false">IF(B207="","",IFERROR(INDEX(สินค้า!$D$2:$D$101,MATCH(B207,สินค้า!$A$2:$A$101,0)),""))</f>
        <v/>
      </c>
      <c r="E207" s="6"/>
      <c r="F207" s="8"/>
      <c r="G207" s="8"/>
      <c r="H207" s="8"/>
      <c r="I207" s="15"/>
      <c r="J207" s="15"/>
      <c r="K207" s="10" t="str">
        <f aca="false">IF(J207&lt;&gt;"",J207,IF(I207="","",I207*IFERROR(INDEX(สินค้า!$G$2:$G$101,MATCH(B207,สินค้า!$A$2:$A$101,0)),0)))</f>
        <v/>
      </c>
      <c r="L207" s="16" t="str">
        <f aca="false">IF(OR(F207="",F207=0,G207=""),"",G207/F207)</f>
        <v/>
      </c>
      <c r="M207" s="16" t="str">
        <f aca="false">IF(OR(G207="",G207=0,H207=""),"",H207/G207)</f>
        <v/>
      </c>
    </row>
    <row r="208" customFormat="false" ht="15" hidden="false" customHeight="false" outlineLevel="0" collapsed="false">
      <c r="A208" s="12"/>
      <c r="B208" s="6"/>
      <c r="C208" s="13" t="str">
        <f aca="false">IF(B208="","",IFERROR(INDEX(สินค้า!$B$2:$B$101,MATCH(B208,สินค้า!$A$2:$A$101,0)),"ไม่พบรหัส"))</f>
        <v/>
      </c>
      <c r="D208" s="14" t="str">
        <f aca="false">IF(B208="","",IFERROR(INDEX(สินค้า!$D$2:$D$101,MATCH(B208,สินค้า!$A$2:$A$101,0)),""))</f>
        <v/>
      </c>
      <c r="E208" s="6"/>
      <c r="F208" s="8"/>
      <c r="G208" s="8"/>
      <c r="H208" s="8"/>
      <c r="I208" s="15"/>
      <c r="J208" s="15"/>
      <c r="K208" s="10" t="str">
        <f aca="false">IF(J208&lt;&gt;"",J208,IF(I208="","",I208*IFERROR(INDEX(สินค้า!$G$2:$G$101,MATCH(B208,สินค้า!$A$2:$A$101,0)),0)))</f>
        <v/>
      </c>
      <c r="L208" s="16" t="str">
        <f aca="false">IF(OR(F208="",F208=0,G208=""),"",G208/F208)</f>
        <v/>
      </c>
      <c r="M208" s="16" t="str">
        <f aca="false">IF(OR(G208="",G208=0,H208=""),"",H208/G208)</f>
        <v/>
      </c>
    </row>
    <row r="209" customFormat="false" ht="15" hidden="false" customHeight="false" outlineLevel="0" collapsed="false">
      <c r="A209" s="12"/>
      <c r="B209" s="6"/>
      <c r="C209" s="13" t="str">
        <f aca="false">IF(B209="","",IFERROR(INDEX(สินค้า!$B$2:$B$101,MATCH(B209,สินค้า!$A$2:$A$101,0)),"ไม่พบรหัส"))</f>
        <v/>
      </c>
      <c r="D209" s="14" t="str">
        <f aca="false">IF(B209="","",IFERROR(INDEX(สินค้า!$D$2:$D$101,MATCH(B209,สินค้า!$A$2:$A$101,0)),""))</f>
        <v/>
      </c>
      <c r="E209" s="6"/>
      <c r="F209" s="8"/>
      <c r="G209" s="8"/>
      <c r="H209" s="8"/>
      <c r="I209" s="15"/>
      <c r="J209" s="15"/>
      <c r="K209" s="10" t="str">
        <f aca="false">IF(J209&lt;&gt;"",J209,IF(I209="","",I209*IFERROR(INDEX(สินค้า!$G$2:$G$101,MATCH(B209,สินค้า!$A$2:$A$101,0)),0)))</f>
        <v/>
      </c>
      <c r="L209" s="16" t="str">
        <f aca="false">IF(OR(F209="",F209=0,G209=""),"",G209/F209)</f>
        <v/>
      </c>
      <c r="M209" s="16" t="str">
        <f aca="false">IF(OR(G209="",G209=0,H209=""),"",H209/G209)</f>
        <v/>
      </c>
    </row>
    <row r="210" customFormat="false" ht="15" hidden="false" customHeight="false" outlineLevel="0" collapsed="false">
      <c r="A210" s="12"/>
      <c r="B210" s="6"/>
      <c r="C210" s="13" t="str">
        <f aca="false">IF(B210="","",IFERROR(INDEX(สินค้า!$B$2:$B$101,MATCH(B210,สินค้า!$A$2:$A$101,0)),"ไม่พบรหัส"))</f>
        <v/>
      </c>
      <c r="D210" s="14" t="str">
        <f aca="false">IF(B210="","",IFERROR(INDEX(สินค้า!$D$2:$D$101,MATCH(B210,สินค้า!$A$2:$A$101,0)),""))</f>
        <v/>
      </c>
      <c r="E210" s="6"/>
      <c r="F210" s="8"/>
      <c r="G210" s="8"/>
      <c r="H210" s="8"/>
      <c r="I210" s="15"/>
      <c r="J210" s="15"/>
      <c r="K210" s="10" t="str">
        <f aca="false">IF(J210&lt;&gt;"",J210,IF(I210="","",I210*IFERROR(INDEX(สินค้า!$G$2:$G$101,MATCH(B210,สินค้า!$A$2:$A$101,0)),0)))</f>
        <v/>
      </c>
      <c r="L210" s="16" t="str">
        <f aca="false">IF(OR(F210="",F210=0,G210=""),"",G210/F210)</f>
        <v/>
      </c>
      <c r="M210" s="16" t="str">
        <f aca="false">IF(OR(G210="",G210=0,H210=""),"",H210/G210)</f>
        <v/>
      </c>
    </row>
    <row r="211" customFormat="false" ht="15" hidden="false" customHeight="false" outlineLevel="0" collapsed="false">
      <c r="A211" s="12"/>
      <c r="B211" s="6"/>
      <c r="C211" s="13" t="str">
        <f aca="false">IF(B211="","",IFERROR(INDEX(สินค้า!$B$2:$B$101,MATCH(B211,สินค้า!$A$2:$A$101,0)),"ไม่พบรหัส"))</f>
        <v/>
      </c>
      <c r="D211" s="14" t="str">
        <f aca="false">IF(B211="","",IFERROR(INDEX(สินค้า!$D$2:$D$101,MATCH(B211,สินค้า!$A$2:$A$101,0)),""))</f>
        <v/>
      </c>
      <c r="E211" s="6"/>
      <c r="F211" s="8"/>
      <c r="G211" s="8"/>
      <c r="H211" s="8"/>
      <c r="I211" s="15"/>
      <c r="J211" s="15"/>
      <c r="K211" s="10" t="str">
        <f aca="false">IF(J211&lt;&gt;"",J211,IF(I211="","",I211*IFERROR(INDEX(สินค้า!$G$2:$G$101,MATCH(B211,สินค้า!$A$2:$A$101,0)),0)))</f>
        <v/>
      </c>
      <c r="L211" s="16" t="str">
        <f aca="false">IF(OR(F211="",F211=0,G211=""),"",G211/F211)</f>
        <v/>
      </c>
      <c r="M211" s="16" t="str">
        <f aca="false">IF(OR(G211="",G211=0,H211=""),"",H211/G211)</f>
        <v/>
      </c>
    </row>
    <row r="212" customFormat="false" ht="15" hidden="false" customHeight="false" outlineLevel="0" collapsed="false">
      <c r="A212" s="12"/>
      <c r="B212" s="6"/>
      <c r="C212" s="13" t="str">
        <f aca="false">IF(B212="","",IFERROR(INDEX(สินค้า!$B$2:$B$101,MATCH(B212,สินค้า!$A$2:$A$101,0)),"ไม่พบรหัส"))</f>
        <v/>
      </c>
      <c r="D212" s="14" t="str">
        <f aca="false">IF(B212="","",IFERROR(INDEX(สินค้า!$D$2:$D$101,MATCH(B212,สินค้า!$A$2:$A$101,0)),""))</f>
        <v/>
      </c>
      <c r="E212" s="6"/>
      <c r="F212" s="8"/>
      <c r="G212" s="8"/>
      <c r="H212" s="8"/>
      <c r="I212" s="15"/>
      <c r="J212" s="15"/>
      <c r="K212" s="10" t="str">
        <f aca="false">IF(J212&lt;&gt;"",J212,IF(I212="","",I212*IFERROR(INDEX(สินค้า!$G$2:$G$101,MATCH(B212,สินค้า!$A$2:$A$101,0)),0)))</f>
        <v/>
      </c>
      <c r="L212" s="16" t="str">
        <f aca="false">IF(OR(F212="",F212=0,G212=""),"",G212/F212)</f>
        <v/>
      </c>
      <c r="M212" s="16" t="str">
        <f aca="false">IF(OR(G212="",G212=0,H212=""),"",H212/G212)</f>
        <v/>
      </c>
    </row>
    <row r="213" customFormat="false" ht="15" hidden="false" customHeight="false" outlineLevel="0" collapsed="false">
      <c r="A213" s="12"/>
      <c r="B213" s="6"/>
      <c r="C213" s="13" t="str">
        <f aca="false">IF(B213="","",IFERROR(INDEX(สินค้า!$B$2:$B$101,MATCH(B213,สินค้า!$A$2:$A$101,0)),"ไม่พบรหัส"))</f>
        <v/>
      </c>
      <c r="D213" s="14" t="str">
        <f aca="false">IF(B213="","",IFERROR(INDEX(สินค้า!$D$2:$D$101,MATCH(B213,สินค้า!$A$2:$A$101,0)),""))</f>
        <v/>
      </c>
      <c r="E213" s="6"/>
      <c r="F213" s="8"/>
      <c r="G213" s="8"/>
      <c r="H213" s="8"/>
      <c r="I213" s="15"/>
      <c r="J213" s="15"/>
      <c r="K213" s="10" t="str">
        <f aca="false">IF(J213&lt;&gt;"",J213,IF(I213="","",I213*IFERROR(INDEX(สินค้า!$G$2:$G$101,MATCH(B213,สินค้า!$A$2:$A$101,0)),0)))</f>
        <v/>
      </c>
      <c r="L213" s="16" t="str">
        <f aca="false">IF(OR(F213="",F213=0,G213=""),"",G213/F213)</f>
        <v/>
      </c>
      <c r="M213" s="16" t="str">
        <f aca="false">IF(OR(G213="",G213=0,H213=""),"",H213/G213)</f>
        <v/>
      </c>
    </row>
    <row r="214" customFormat="false" ht="15" hidden="false" customHeight="false" outlineLevel="0" collapsed="false">
      <c r="A214" s="12"/>
      <c r="B214" s="6"/>
      <c r="C214" s="13" t="str">
        <f aca="false">IF(B214="","",IFERROR(INDEX(สินค้า!$B$2:$B$101,MATCH(B214,สินค้า!$A$2:$A$101,0)),"ไม่พบรหัส"))</f>
        <v/>
      </c>
      <c r="D214" s="14" t="str">
        <f aca="false">IF(B214="","",IFERROR(INDEX(สินค้า!$D$2:$D$101,MATCH(B214,สินค้า!$A$2:$A$101,0)),""))</f>
        <v/>
      </c>
      <c r="E214" s="6"/>
      <c r="F214" s="8"/>
      <c r="G214" s="8"/>
      <c r="H214" s="8"/>
      <c r="I214" s="15"/>
      <c r="J214" s="15"/>
      <c r="K214" s="10" t="str">
        <f aca="false">IF(J214&lt;&gt;"",J214,IF(I214="","",I214*IFERROR(INDEX(สินค้า!$G$2:$G$101,MATCH(B214,สินค้า!$A$2:$A$101,0)),0)))</f>
        <v/>
      </c>
      <c r="L214" s="16" t="str">
        <f aca="false">IF(OR(F214="",F214=0,G214=""),"",G214/F214)</f>
        <v/>
      </c>
      <c r="M214" s="16" t="str">
        <f aca="false">IF(OR(G214="",G214=0,H214=""),"",H214/G214)</f>
        <v/>
      </c>
    </row>
    <row r="215" customFormat="false" ht="15" hidden="false" customHeight="false" outlineLevel="0" collapsed="false">
      <c r="A215" s="12"/>
      <c r="B215" s="6"/>
      <c r="C215" s="13" t="str">
        <f aca="false">IF(B215="","",IFERROR(INDEX(สินค้า!$B$2:$B$101,MATCH(B215,สินค้า!$A$2:$A$101,0)),"ไม่พบรหัส"))</f>
        <v/>
      </c>
      <c r="D215" s="14" t="str">
        <f aca="false">IF(B215="","",IFERROR(INDEX(สินค้า!$D$2:$D$101,MATCH(B215,สินค้า!$A$2:$A$101,0)),""))</f>
        <v/>
      </c>
      <c r="E215" s="6"/>
      <c r="F215" s="8"/>
      <c r="G215" s="8"/>
      <c r="H215" s="8"/>
      <c r="I215" s="15"/>
      <c r="J215" s="15"/>
      <c r="K215" s="10" t="str">
        <f aca="false">IF(J215&lt;&gt;"",J215,IF(I215="","",I215*IFERROR(INDEX(สินค้า!$G$2:$G$101,MATCH(B215,สินค้า!$A$2:$A$101,0)),0)))</f>
        <v/>
      </c>
      <c r="L215" s="16" t="str">
        <f aca="false">IF(OR(F215="",F215=0,G215=""),"",G215/F215)</f>
        <v/>
      </c>
      <c r="M215" s="16" t="str">
        <f aca="false">IF(OR(G215="",G215=0,H215=""),"",H215/G215)</f>
        <v/>
      </c>
    </row>
    <row r="216" customFormat="false" ht="15" hidden="false" customHeight="false" outlineLevel="0" collapsed="false">
      <c r="A216" s="12"/>
      <c r="B216" s="6"/>
      <c r="C216" s="13" t="str">
        <f aca="false">IF(B216="","",IFERROR(INDEX(สินค้า!$B$2:$B$101,MATCH(B216,สินค้า!$A$2:$A$101,0)),"ไม่พบรหัส"))</f>
        <v/>
      </c>
      <c r="D216" s="14" t="str">
        <f aca="false">IF(B216="","",IFERROR(INDEX(สินค้า!$D$2:$D$101,MATCH(B216,สินค้า!$A$2:$A$101,0)),""))</f>
        <v/>
      </c>
      <c r="E216" s="6"/>
      <c r="F216" s="8"/>
      <c r="G216" s="8"/>
      <c r="H216" s="8"/>
      <c r="I216" s="15"/>
      <c r="J216" s="15"/>
      <c r="K216" s="10" t="str">
        <f aca="false">IF(J216&lt;&gt;"",J216,IF(I216="","",I216*IFERROR(INDEX(สินค้า!$G$2:$G$101,MATCH(B216,สินค้า!$A$2:$A$101,0)),0)))</f>
        <v/>
      </c>
      <c r="L216" s="16" t="str">
        <f aca="false">IF(OR(F216="",F216=0,G216=""),"",G216/F216)</f>
        <v/>
      </c>
      <c r="M216" s="16" t="str">
        <f aca="false">IF(OR(G216="",G216=0,H216=""),"",H216/G216)</f>
        <v/>
      </c>
    </row>
    <row r="217" customFormat="false" ht="15" hidden="false" customHeight="false" outlineLevel="0" collapsed="false">
      <c r="A217" s="12"/>
      <c r="B217" s="6"/>
      <c r="C217" s="13" t="str">
        <f aca="false">IF(B217="","",IFERROR(INDEX(สินค้า!$B$2:$B$101,MATCH(B217,สินค้า!$A$2:$A$101,0)),"ไม่พบรหัส"))</f>
        <v/>
      </c>
      <c r="D217" s="14" t="str">
        <f aca="false">IF(B217="","",IFERROR(INDEX(สินค้า!$D$2:$D$101,MATCH(B217,สินค้า!$A$2:$A$101,0)),""))</f>
        <v/>
      </c>
      <c r="E217" s="6"/>
      <c r="F217" s="8"/>
      <c r="G217" s="8"/>
      <c r="H217" s="8"/>
      <c r="I217" s="15"/>
      <c r="J217" s="15"/>
      <c r="K217" s="10" t="str">
        <f aca="false">IF(J217&lt;&gt;"",J217,IF(I217="","",I217*IFERROR(INDEX(สินค้า!$G$2:$G$101,MATCH(B217,สินค้า!$A$2:$A$101,0)),0)))</f>
        <v/>
      </c>
      <c r="L217" s="16" t="str">
        <f aca="false">IF(OR(F217="",F217=0,G217=""),"",G217/F217)</f>
        <v/>
      </c>
      <c r="M217" s="16" t="str">
        <f aca="false">IF(OR(G217="",G217=0,H217=""),"",H217/G217)</f>
        <v/>
      </c>
    </row>
    <row r="218" customFormat="false" ht="15" hidden="false" customHeight="false" outlineLevel="0" collapsed="false">
      <c r="A218" s="12"/>
      <c r="B218" s="6"/>
      <c r="C218" s="13" t="str">
        <f aca="false">IF(B218="","",IFERROR(INDEX(สินค้า!$B$2:$B$101,MATCH(B218,สินค้า!$A$2:$A$101,0)),"ไม่พบรหัส"))</f>
        <v/>
      </c>
      <c r="D218" s="14" t="str">
        <f aca="false">IF(B218="","",IFERROR(INDEX(สินค้า!$D$2:$D$101,MATCH(B218,สินค้า!$A$2:$A$101,0)),""))</f>
        <v/>
      </c>
      <c r="E218" s="6"/>
      <c r="F218" s="8"/>
      <c r="G218" s="8"/>
      <c r="H218" s="8"/>
      <c r="I218" s="15"/>
      <c r="J218" s="15"/>
      <c r="K218" s="10" t="str">
        <f aca="false">IF(J218&lt;&gt;"",J218,IF(I218="","",I218*IFERROR(INDEX(สินค้า!$G$2:$G$101,MATCH(B218,สินค้า!$A$2:$A$101,0)),0)))</f>
        <v/>
      </c>
      <c r="L218" s="16" t="str">
        <f aca="false">IF(OR(F218="",F218=0,G218=""),"",G218/F218)</f>
        <v/>
      </c>
      <c r="M218" s="16" t="str">
        <f aca="false">IF(OR(G218="",G218=0,H218=""),"",H218/G218)</f>
        <v/>
      </c>
    </row>
    <row r="219" customFormat="false" ht="15" hidden="false" customHeight="false" outlineLevel="0" collapsed="false">
      <c r="A219" s="12"/>
      <c r="B219" s="6"/>
      <c r="C219" s="13" t="str">
        <f aca="false">IF(B219="","",IFERROR(INDEX(สินค้า!$B$2:$B$101,MATCH(B219,สินค้า!$A$2:$A$101,0)),"ไม่พบรหัส"))</f>
        <v/>
      </c>
      <c r="D219" s="14" t="str">
        <f aca="false">IF(B219="","",IFERROR(INDEX(สินค้า!$D$2:$D$101,MATCH(B219,สินค้า!$A$2:$A$101,0)),""))</f>
        <v/>
      </c>
      <c r="E219" s="6"/>
      <c r="F219" s="8"/>
      <c r="G219" s="8"/>
      <c r="H219" s="8"/>
      <c r="I219" s="15"/>
      <c r="J219" s="15"/>
      <c r="K219" s="10" t="str">
        <f aca="false">IF(J219&lt;&gt;"",J219,IF(I219="","",I219*IFERROR(INDEX(สินค้า!$G$2:$G$101,MATCH(B219,สินค้า!$A$2:$A$101,0)),0)))</f>
        <v/>
      </c>
      <c r="L219" s="16" t="str">
        <f aca="false">IF(OR(F219="",F219=0,G219=""),"",G219/F219)</f>
        <v/>
      </c>
      <c r="M219" s="16" t="str">
        <f aca="false">IF(OR(G219="",G219=0,H219=""),"",H219/G219)</f>
        <v/>
      </c>
    </row>
    <row r="220" customFormat="false" ht="15" hidden="false" customHeight="false" outlineLevel="0" collapsed="false">
      <c r="A220" s="12"/>
      <c r="B220" s="6"/>
      <c r="C220" s="13" t="str">
        <f aca="false">IF(B220="","",IFERROR(INDEX(สินค้า!$B$2:$B$101,MATCH(B220,สินค้า!$A$2:$A$101,0)),"ไม่พบรหัส"))</f>
        <v/>
      </c>
      <c r="D220" s="14" t="str">
        <f aca="false">IF(B220="","",IFERROR(INDEX(สินค้า!$D$2:$D$101,MATCH(B220,สินค้า!$A$2:$A$101,0)),""))</f>
        <v/>
      </c>
      <c r="E220" s="6"/>
      <c r="F220" s="8"/>
      <c r="G220" s="8"/>
      <c r="H220" s="8"/>
      <c r="I220" s="15"/>
      <c r="J220" s="15"/>
      <c r="K220" s="10" t="str">
        <f aca="false">IF(J220&lt;&gt;"",J220,IF(I220="","",I220*IFERROR(INDEX(สินค้า!$G$2:$G$101,MATCH(B220,สินค้า!$A$2:$A$101,0)),0)))</f>
        <v/>
      </c>
      <c r="L220" s="16" t="str">
        <f aca="false">IF(OR(F220="",F220=0,G220=""),"",G220/F220)</f>
        <v/>
      </c>
      <c r="M220" s="16" t="str">
        <f aca="false">IF(OR(G220="",G220=0,H220=""),"",H220/G220)</f>
        <v/>
      </c>
    </row>
    <row r="221" customFormat="false" ht="15" hidden="false" customHeight="false" outlineLevel="0" collapsed="false">
      <c r="A221" s="12"/>
      <c r="B221" s="6"/>
      <c r="C221" s="13" t="str">
        <f aca="false">IF(B221="","",IFERROR(INDEX(สินค้า!$B$2:$B$101,MATCH(B221,สินค้า!$A$2:$A$101,0)),"ไม่พบรหัส"))</f>
        <v/>
      </c>
      <c r="D221" s="14" t="str">
        <f aca="false">IF(B221="","",IFERROR(INDEX(สินค้า!$D$2:$D$101,MATCH(B221,สินค้า!$A$2:$A$101,0)),""))</f>
        <v/>
      </c>
      <c r="E221" s="6"/>
      <c r="F221" s="8"/>
      <c r="G221" s="8"/>
      <c r="H221" s="8"/>
      <c r="I221" s="15"/>
      <c r="J221" s="15"/>
      <c r="K221" s="10" t="str">
        <f aca="false">IF(J221&lt;&gt;"",J221,IF(I221="","",I221*IFERROR(INDEX(สินค้า!$G$2:$G$101,MATCH(B221,สินค้า!$A$2:$A$101,0)),0)))</f>
        <v/>
      </c>
      <c r="L221" s="16" t="str">
        <f aca="false">IF(OR(F221="",F221=0,G221=""),"",G221/F221)</f>
        <v/>
      </c>
      <c r="M221" s="16" t="str">
        <f aca="false">IF(OR(G221="",G221=0,H221=""),"",H221/G221)</f>
        <v/>
      </c>
    </row>
    <row r="222" customFormat="false" ht="15" hidden="false" customHeight="false" outlineLevel="0" collapsed="false">
      <c r="A222" s="12"/>
      <c r="B222" s="6"/>
      <c r="C222" s="13" t="str">
        <f aca="false">IF(B222="","",IFERROR(INDEX(สินค้า!$B$2:$B$101,MATCH(B222,สินค้า!$A$2:$A$101,0)),"ไม่พบรหัส"))</f>
        <v/>
      </c>
      <c r="D222" s="14" t="str">
        <f aca="false">IF(B222="","",IFERROR(INDEX(สินค้า!$D$2:$D$101,MATCH(B222,สินค้า!$A$2:$A$101,0)),""))</f>
        <v/>
      </c>
      <c r="E222" s="6"/>
      <c r="F222" s="8"/>
      <c r="G222" s="8"/>
      <c r="H222" s="8"/>
      <c r="I222" s="15"/>
      <c r="J222" s="15"/>
      <c r="K222" s="10" t="str">
        <f aca="false">IF(J222&lt;&gt;"",J222,IF(I222="","",I222*IFERROR(INDEX(สินค้า!$G$2:$G$101,MATCH(B222,สินค้า!$A$2:$A$101,0)),0)))</f>
        <v/>
      </c>
      <c r="L222" s="16" t="str">
        <f aca="false">IF(OR(F222="",F222=0,G222=""),"",G222/F222)</f>
        <v/>
      </c>
      <c r="M222" s="16" t="str">
        <f aca="false">IF(OR(G222="",G222=0,H222=""),"",H222/G222)</f>
        <v/>
      </c>
    </row>
    <row r="223" customFormat="false" ht="15" hidden="false" customHeight="false" outlineLevel="0" collapsed="false">
      <c r="A223" s="12"/>
      <c r="B223" s="6"/>
      <c r="C223" s="13" t="str">
        <f aca="false">IF(B223="","",IFERROR(INDEX(สินค้า!$B$2:$B$101,MATCH(B223,สินค้า!$A$2:$A$101,0)),"ไม่พบรหัส"))</f>
        <v/>
      </c>
      <c r="D223" s="14" t="str">
        <f aca="false">IF(B223="","",IFERROR(INDEX(สินค้า!$D$2:$D$101,MATCH(B223,สินค้า!$A$2:$A$101,0)),""))</f>
        <v/>
      </c>
      <c r="E223" s="6"/>
      <c r="F223" s="8"/>
      <c r="G223" s="8"/>
      <c r="H223" s="8"/>
      <c r="I223" s="15"/>
      <c r="J223" s="15"/>
      <c r="K223" s="10" t="str">
        <f aca="false">IF(J223&lt;&gt;"",J223,IF(I223="","",I223*IFERROR(INDEX(สินค้า!$G$2:$G$101,MATCH(B223,สินค้า!$A$2:$A$101,0)),0)))</f>
        <v/>
      </c>
      <c r="L223" s="16" t="str">
        <f aca="false">IF(OR(F223="",F223=0,G223=""),"",G223/F223)</f>
        <v/>
      </c>
      <c r="M223" s="16" t="str">
        <f aca="false">IF(OR(G223="",G223=0,H223=""),"",H223/G223)</f>
        <v/>
      </c>
    </row>
    <row r="224" customFormat="false" ht="15" hidden="false" customHeight="false" outlineLevel="0" collapsed="false">
      <c r="A224" s="12"/>
      <c r="B224" s="6"/>
      <c r="C224" s="13" t="str">
        <f aca="false">IF(B224="","",IFERROR(INDEX(สินค้า!$B$2:$B$101,MATCH(B224,สินค้า!$A$2:$A$101,0)),"ไม่พบรหัส"))</f>
        <v/>
      </c>
      <c r="D224" s="14" t="str">
        <f aca="false">IF(B224="","",IFERROR(INDEX(สินค้า!$D$2:$D$101,MATCH(B224,สินค้า!$A$2:$A$101,0)),""))</f>
        <v/>
      </c>
      <c r="E224" s="6"/>
      <c r="F224" s="8"/>
      <c r="G224" s="8"/>
      <c r="H224" s="8"/>
      <c r="I224" s="15"/>
      <c r="J224" s="15"/>
      <c r="K224" s="10" t="str">
        <f aca="false">IF(J224&lt;&gt;"",J224,IF(I224="","",I224*IFERROR(INDEX(สินค้า!$G$2:$G$101,MATCH(B224,สินค้า!$A$2:$A$101,0)),0)))</f>
        <v/>
      </c>
      <c r="L224" s="16" t="str">
        <f aca="false">IF(OR(F224="",F224=0,G224=""),"",G224/F224)</f>
        <v/>
      </c>
      <c r="M224" s="16" t="str">
        <f aca="false">IF(OR(G224="",G224=0,H224=""),"",H224/G224)</f>
        <v/>
      </c>
    </row>
    <row r="225" customFormat="false" ht="15" hidden="false" customHeight="false" outlineLevel="0" collapsed="false">
      <c r="A225" s="12"/>
      <c r="B225" s="6"/>
      <c r="C225" s="13" t="str">
        <f aca="false">IF(B225="","",IFERROR(INDEX(สินค้า!$B$2:$B$101,MATCH(B225,สินค้า!$A$2:$A$101,0)),"ไม่พบรหัส"))</f>
        <v/>
      </c>
      <c r="D225" s="14" t="str">
        <f aca="false">IF(B225="","",IFERROR(INDEX(สินค้า!$D$2:$D$101,MATCH(B225,สินค้า!$A$2:$A$101,0)),""))</f>
        <v/>
      </c>
      <c r="E225" s="6"/>
      <c r="F225" s="8"/>
      <c r="G225" s="8"/>
      <c r="H225" s="8"/>
      <c r="I225" s="15"/>
      <c r="J225" s="15"/>
      <c r="K225" s="10" t="str">
        <f aca="false">IF(J225&lt;&gt;"",J225,IF(I225="","",I225*IFERROR(INDEX(สินค้า!$G$2:$G$101,MATCH(B225,สินค้า!$A$2:$A$101,0)),0)))</f>
        <v/>
      </c>
      <c r="L225" s="16" t="str">
        <f aca="false">IF(OR(F225="",F225=0,G225=""),"",G225/F225)</f>
        <v/>
      </c>
      <c r="M225" s="16" t="str">
        <f aca="false">IF(OR(G225="",G225=0,H225=""),"",H225/G225)</f>
        <v/>
      </c>
    </row>
    <row r="226" customFormat="false" ht="15" hidden="false" customHeight="false" outlineLevel="0" collapsed="false">
      <c r="A226" s="12"/>
      <c r="B226" s="6"/>
      <c r="C226" s="13" t="str">
        <f aca="false">IF(B226="","",IFERROR(INDEX(สินค้า!$B$2:$B$101,MATCH(B226,สินค้า!$A$2:$A$101,0)),"ไม่พบรหัส"))</f>
        <v/>
      </c>
      <c r="D226" s="14" t="str">
        <f aca="false">IF(B226="","",IFERROR(INDEX(สินค้า!$D$2:$D$101,MATCH(B226,สินค้า!$A$2:$A$101,0)),""))</f>
        <v/>
      </c>
      <c r="E226" s="6"/>
      <c r="F226" s="8"/>
      <c r="G226" s="8"/>
      <c r="H226" s="8"/>
      <c r="I226" s="15"/>
      <c r="J226" s="15"/>
      <c r="K226" s="10" t="str">
        <f aca="false">IF(J226&lt;&gt;"",J226,IF(I226="","",I226*IFERROR(INDEX(สินค้า!$G$2:$G$101,MATCH(B226,สินค้า!$A$2:$A$101,0)),0)))</f>
        <v/>
      </c>
      <c r="L226" s="16" t="str">
        <f aca="false">IF(OR(F226="",F226=0,G226=""),"",G226/F226)</f>
        <v/>
      </c>
      <c r="M226" s="16" t="str">
        <f aca="false">IF(OR(G226="",G226=0,H226=""),"",H226/G226)</f>
        <v/>
      </c>
    </row>
    <row r="227" customFormat="false" ht="15" hidden="false" customHeight="false" outlineLevel="0" collapsed="false">
      <c r="A227" s="12"/>
      <c r="B227" s="6"/>
      <c r="C227" s="13" t="str">
        <f aca="false">IF(B227="","",IFERROR(INDEX(สินค้า!$B$2:$B$101,MATCH(B227,สินค้า!$A$2:$A$101,0)),"ไม่พบรหัส"))</f>
        <v/>
      </c>
      <c r="D227" s="14" t="str">
        <f aca="false">IF(B227="","",IFERROR(INDEX(สินค้า!$D$2:$D$101,MATCH(B227,สินค้า!$A$2:$A$101,0)),""))</f>
        <v/>
      </c>
      <c r="E227" s="6"/>
      <c r="F227" s="8"/>
      <c r="G227" s="8"/>
      <c r="H227" s="8"/>
      <c r="I227" s="15"/>
      <c r="J227" s="15"/>
      <c r="K227" s="10" t="str">
        <f aca="false">IF(J227&lt;&gt;"",J227,IF(I227="","",I227*IFERROR(INDEX(สินค้า!$G$2:$G$101,MATCH(B227,สินค้า!$A$2:$A$101,0)),0)))</f>
        <v/>
      </c>
      <c r="L227" s="16" t="str">
        <f aca="false">IF(OR(F227="",F227=0,G227=""),"",G227/F227)</f>
        <v/>
      </c>
      <c r="M227" s="16" t="str">
        <f aca="false">IF(OR(G227="",G227=0,H227=""),"",H227/G227)</f>
        <v/>
      </c>
    </row>
    <row r="228" customFormat="false" ht="15" hidden="false" customHeight="false" outlineLevel="0" collapsed="false">
      <c r="A228" s="12"/>
      <c r="B228" s="6"/>
      <c r="C228" s="13" t="str">
        <f aca="false">IF(B228="","",IFERROR(INDEX(สินค้า!$B$2:$B$101,MATCH(B228,สินค้า!$A$2:$A$101,0)),"ไม่พบรหัส"))</f>
        <v/>
      </c>
      <c r="D228" s="14" t="str">
        <f aca="false">IF(B228="","",IFERROR(INDEX(สินค้า!$D$2:$D$101,MATCH(B228,สินค้า!$A$2:$A$101,0)),""))</f>
        <v/>
      </c>
      <c r="E228" s="6"/>
      <c r="F228" s="8"/>
      <c r="G228" s="8"/>
      <c r="H228" s="8"/>
      <c r="I228" s="15"/>
      <c r="J228" s="15"/>
      <c r="K228" s="10" t="str">
        <f aca="false">IF(J228&lt;&gt;"",J228,IF(I228="","",I228*IFERROR(INDEX(สินค้า!$G$2:$G$101,MATCH(B228,สินค้า!$A$2:$A$101,0)),0)))</f>
        <v/>
      </c>
      <c r="L228" s="16" t="str">
        <f aca="false">IF(OR(F228="",F228=0,G228=""),"",G228/F228)</f>
        <v/>
      </c>
      <c r="M228" s="16" t="str">
        <f aca="false">IF(OR(G228="",G228=0,H228=""),"",H228/G228)</f>
        <v/>
      </c>
    </row>
    <row r="229" customFormat="false" ht="15" hidden="false" customHeight="false" outlineLevel="0" collapsed="false">
      <c r="A229" s="12"/>
      <c r="B229" s="6"/>
      <c r="C229" s="13" t="str">
        <f aca="false">IF(B229="","",IFERROR(INDEX(สินค้า!$B$2:$B$101,MATCH(B229,สินค้า!$A$2:$A$101,0)),"ไม่พบรหัส"))</f>
        <v/>
      </c>
      <c r="D229" s="14" t="str">
        <f aca="false">IF(B229="","",IFERROR(INDEX(สินค้า!$D$2:$D$101,MATCH(B229,สินค้า!$A$2:$A$101,0)),""))</f>
        <v/>
      </c>
      <c r="E229" s="6"/>
      <c r="F229" s="8"/>
      <c r="G229" s="8"/>
      <c r="H229" s="8"/>
      <c r="I229" s="15"/>
      <c r="J229" s="15"/>
      <c r="K229" s="10" t="str">
        <f aca="false">IF(J229&lt;&gt;"",J229,IF(I229="","",I229*IFERROR(INDEX(สินค้า!$G$2:$G$101,MATCH(B229,สินค้า!$A$2:$A$101,0)),0)))</f>
        <v/>
      </c>
      <c r="L229" s="16" t="str">
        <f aca="false">IF(OR(F229="",F229=0,G229=""),"",G229/F229)</f>
        <v/>
      </c>
      <c r="M229" s="16" t="str">
        <f aca="false">IF(OR(G229="",G229=0,H229=""),"",H229/G229)</f>
        <v/>
      </c>
    </row>
    <row r="230" customFormat="false" ht="15" hidden="false" customHeight="false" outlineLevel="0" collapsed="false">
      <c r="A230" s="12"/>
      <c r="B230" s="6"/>
      <c r="C230" s="13" t="str">
        <f aca="false">IF(B230="","",IFERROR(INDEX(สินค้า!$B$2:$B$101,MATCH(B230,สินค้า!$A$2:$A$101,0)),"ไม่พบรหัส"))</f>
        <v/>
      </c>
      <c r="D230" s="14" t="str">
        <f aca="false">IF(B230="","",IFERROR(INDEX(สินค้า!$D$2:$D$101,MATCH(B230,สินค้า!$A$2:$A$101,0)),""))</f>
        <v/>
      </c>
      <c r="E230" s="6"/>
      <c r="F230" s="8"/>
      <c r="G230" s="8"/>
      <c r="H230" s="8"/>
      <c r="I230" s="15"/>
      <c r="J230" s="15"/>
      <c r="K230" s="10" t="str">
        <f aca="false">IF(J230&lt;&gt;"",J230,IF(I230="","",I230*IFERROR(INDEX(สินค้า!$G$2:$G$101,MATCH(B230,สินค้า!$A$2:$A$101,0)),0)))</f>
        <v/>
      </c>
      <c r="L230" s="16" t="str">
        <f aca="false">IF(OR(F230="",F230=0,G230=""),"",G230/F230)</f>
        <v/>
      </c>
      <c r="M230" s="16" t="str">
        <f aca="false">IF(OR(G230="",G230=0,H230=""),"",H230/G230)</f>
        <v/>
      </c>
    </row>
    <row r="231" customFormat="false" ht="15" hidden="false" customHeight="false" outlineLevel="0" collapsed="false">
      <c r="A231" s="12"/>
      <c r="B231" s="6"/>
      <c r="C231" s="13" t="str">
        <f aca="false">IF(B231="","",IFERROR(INDEX(สินค้า!$B$2:$B$101,MATCH(B231,สินค้า!$A$2:$A$101,0)),"ไม่พบรหัส"))</f>
        <v/>
      </c>
      <c r="D231" s="14" t="str">
        <f aca="false">IF(B231="","",IFERROR(INDEX(สินค้า!$D$2:$D$101,MATCH(B231,สินค้า!$A$2:$A$101,0)),""))</f>
        <v/>
      </c>
      <c r="E231" s="6"/>
      <c r="F231" s="8"/>
      <c r="G231" s="8"/>
      <c r="H231" s="8"/>
      <c r="I231" s="15"/>
      <c r="J231" s="15"/>
      <c r="K231" s="10" t="str">
        <f aca="false">IF(J231&lt;&gt;"",J231,IF(I231="","",I231*IFERROR(INDEX(สินค้า!$G$2:$G$101,MATCH(B231,สินค้า!$A$2:$A$101,0)),0)))</f>
        <v/>
      </c>
      <c r="L231" s="16" t="str">
        <f aca="false">IF(OR(F231="",F231=0,G231=""),"",G231/F231)</f>
        <v/>
      </c>
      <c r="M231" s="16" t="str">
        <f aca="false">IF(OR(G231="",G231=0,H231=""),"",H231/G231)</f>
        <v/>
      </c>
    </row>
    <row r="232" customFormat="false" ht="15" hidden="false" customHeight="false" outlineLevel="0" collapsed="false">
      <c r="A232" s="12"/>
      <c r="B232" s="6"/>
      <c r="C232" s="13" t="str">
        <f aca="false">IF(B232="","",IFERROR(INDEX(สินค้า!$B$2:$B$101,MATCH(B232,สินค้า!$A$2:$A$101,0)),"ไม่พบรหัส"))</f>
        <v/>
      </c>
      <c r="D232" s="14" t="str">
        <f aca="false">IF(B232="","",IFERROR(INDEX(สินค้า!$D$2:$D$101,MATCH(B232,สินค้า!$A$2:$A$101,0)),""))</f>
        <v/>
      </c>
      <c r="E232" s="6"/>
      <c r="F232" s="8"/>
      <c r="G232" s="8"/>
      <c r="H232" s="8"/>
      <c r="I232" s="15"/>
      <c r="J232" s="15"/>
      <c r="K232" s="10" t="str">
        <f aca="false">IF(J232&lt;&gt;"",J232,IF(I232="","",I232*IFERROR(INDEX(สินค้า!$G$2:$G$101,MATCH(B232,สินค้า!$A$2:$A$101,0)),0)))</f>
        <v/>
      </c>
      <c r="L232" s="16" t="str">
        <f aca="false">IF(OR(F232="",F232=0,G232=""),"",G232/F232)</f>
        <v/>
      </c>
      <c r="M232" s="16" t="str">
        <f aca="false">IF(OR(G232="",G232=0,H232=""),"",H232/G232)</f>
        <v/>
      </c>
    </row>
    <row r="233" customFormat="false" ht="15" hidden="false" customHeight="false" outlineLevel="0" collapsed="false">
      <c r="A233" s="12"/>
      <c r="B233" s="6"/>
      <c r="C233" s="13" t="str">
        <f aca="false">IF(B233="","",IFERROR(INDEX(สินค้า!$B$2:$B$101,MATCH(B233,สินค้า!$A$2:$A$101,0)),"ไม่พบรหัส"))</f>
        <v/>
      </c>
      <c r="D233" s="14" t="str">
        <f aca="false">IF(B233="","",IFERROR(INDEX(สินค้า!$D$2:$D$101,MATCH(B233,สินค้า!$A$2:$A$101,0)),""))</f>
        <v/>
      </c>
      <c r="E233" s="6"/>
      <c r="F233" s="8"/>
      <c r="G233" s="8"/>
      <c r="H233" s="8"/>
      <c r="I233" s="15"/>
      <c r="J233" s="15"/>
      <c r="K233" s="10" t="str">
        <f aca="false">IF(J233&lt;&gt;"",J233,IF(I233="","",I233*IFERROR(INDEX(สินค้า!$G$2:$G$101,MATCH(B233,สินค้า!$A$2:$A$101,0)),0)))</f>
        <v/>
      </c>
      <c r="L233" s="16" t="str">
        <f aca="false">IF(OR(F233="",F233=0,G233=""),"",G233/F233)</f>
        <v/>
      </c>
      <c r="M233" s="16" t="str">
        <f aca="false">IF(OR(G233="",G233=0,H233=""),"",H233/G233)</f>
        <v/>
      </c>
    </row>
    <row r="234" customFormat="false" ht="15" hidden="false" customHeight="false" outlineLevel="0" collapsed="false">
      <c r="A234" s="12"/>
      <c r="B234" s="6"/>
      <c r="C234" s="13" t="str">
        <f aca="false">IF(B234="","",IFERROR(INDEX(สินค้า!$B$2:$B$101,MATCH(B234,สินค้า!$A$2:$A$101,0)),"ไม่พบรหัส"))</f>
        <v/>
      </c>
      <c r="D234" s="14" t="str">
        <f aca="false">IF(B234="","",IFERROR(INDEX(สินค้า!$D$2:$D$101,MATCH(B234,สินค้า!$A$2:$A$101,0)),""))</f>
        <v/>
      </c>
      <c r="E234" s="6"/>
      <c r="F234" s="8"/>
      <c r="G234" s="8"/>
      <c r="H234" s="8"/>
      <c r="I234" s="15"/>
      <c r="J234" s="15"/>
      <c r="K234" s="10" t="str">
        <f aca="false">IF(J234&lt;&gt;"",J234,IF(I234="","",I234*IFERROR(INDEX(สินค้า!$G$2:$G$101,MATCH(B234,สินค้า!$A$2:$A$101,0)),0)))</f>
        <v/>
      </c>
      <c r="L234" s="16" t="str">
        <f aca="false">IF(OR(F234="",F234=0,G234=""),"",G234/F234)</f>
        <v/>
      </c>
      <c r="M234" s="16" t="str">
        <f aca="false">IF(OR(G234="",G234=0,H234=""),"",H234/G234)</f>
        <v/>
      </c>
    </row>
    <row r="235" customFormat="false" ht="15" hidden="false" customHeight="false" outlineLevel="0" collapsed="false">
      <c r="A235" s="12"/>
      <c r="B235" s="6"/>
      <c r="C235" s="13" t="str">
        <f aca="false">IF(B235="","",IFERROR(INDEX(สินค้า!$B$2:$B$101,MATCH(B235,สินค้า!$A$2:$A$101,0)),"ไม่พบรหัส"))</f>
        <v/>
      </c>
      <c r="D235" s="14" t="str">
        <f aca="false">IF(B235="","",IFERROR(INDEX(สินค้า!$D$2:$D$101,MATCH(B235,สินค้า!$A$2:$A$101,0)),""))</f>
        <v/>
      </c>
      <c r="E235" s="6"/>
      <c r="F235" s="8"/>
      <c r="G235" s="8"/>
      <c r="H235" s="8"/>
      <c r="I235" s="15"/>
      <c r="J235" s="15"/>
      <c r="K235" s="10" t="str">
        <f aca="false">IF(J235&lt;&gt;"",J235,IF(I235="","",I235*IFERROR(INDEX(สินค้า!$G$2:$G$101,MATCH(B235,สินค้า!$A$2:$A$101,0)),0)))</f>
        <v/>
      </c>
      <c r="L235" s="16" t="str">
        <f aca="false">IF(OR(F235="",F235=0,G235=""),"",G235/F235)</f>
        <v/>
      </c>
      <c r="M235" s="16" t="str">
        <f aca="false">IF(OR(G235="",G235=0,H235=""),"",H235/G235)</f>
        <v/>
      </c>
    </row>
    <row r="236" customFormat="false" ht="15" hidden="false" customHeight="false" outlineLevel="0" collapsed="false">
      <c r="A236" s="12"/>
      <c r="B236" s="6"/>
      <c r="C236" s="13" t="str">
        <f aca="false">IF(B236="","",IFERROR(INDEX(สินค้า!$B$2:$B$101,MATCH(B236,สินค้า!$A$2:$A$101,0)),"ไม่พบรหัส"))</f>
        <v/>
      </c>
      <c r="D236" s="14" t="str">
        <f aca="false">IF(B236="","",IFERROR(INDEX(สินค้า!$D$2:$D$101,MATCH(B236,สินค้า!$A$2:$A$101,0)),""))</f>
        <v/>
      </c>
      <c r="E236" s="6"/>
      <c r="F236" s="8"/>
      <c r="G236" s="8"/>
      <c r="H236" s="8"/>
      <c r="I236" s="15"/>
      <c r="J236" s="15"/>
      <c r="K236" s="10" t="str">
        <f aca="false">IF(J236&lt;&gt;"",J236,IF(I236="","",I236*IFERROR(INDEX(สินค้า!$G$2:$G$101,MATCH(B236,สินค้า!$A$2:$A$101,0)),0)))</f>
        <v/>
      </c>
      <c r="L236" s="16" t="str">
        <f aca="false">IF(OR(F236="",F236=0,G236=""),"",G236/F236)</f>
        <v/>
      </c>
      <c r="M236" s="16" t="str">
        <f aca="false">IF(OR(G236="",G236=0,H236=""),"",H236/G236)</f>
        <v/>
      </c>
    </row>
    <row r="237" customFormat="false" ht="15" hidden="false" customHeight="false" outlineLevel="0" collapsed="false">
      <c r="A237" s="12"/>
      <c r="B237" s="6"/>
      <c r="C237" s="13" t="str">
        <f aca="false">IF(B237="","",IFERROR(INDEX(สินค้า!$B$2:$B$101,MATCH(B237,สินค้า!$A$2:$A$101,0)),"ไม่พบรหัส"))</f>
        <v/>
      </c>
      <c r="D237" s="14" t="str">
        <f aca="false">IF(B237="","",IFERROR(INDEX(สินค้า!$D$2:$D$101,MATCH(B237,สินค้า!$A$2:$A$101,0)),""))</f>
        <v/>
      </c>
      <c r="E237" s="6"/>
      <c r="F237" s="8"/>
      <c r="G237" s="8"/>
      <c r="H237" s="8"/>
      <c r="I237" s="15"/>
      <c r="J237" s="15"/>
      <c r="K237" s="10" t="str">
        <f aca="false">IF(J237&lt;&gt;"",J237,IF(I237="","",I237*IFERROR(INDEX(สินค้า!$G$2:$G$101,MATCH(B237,สินค้า!$A$2:$A$101,0)),0)))</f>
        <v/>
      </c>
      <c r="L237" s="16" t="str">
        <f aca="false">IF(OR(F237="",F237=0,G237=""),"",G237/F237)</f>
        <v/>
      </c>
      <c r="M237" s="16" t="str">
        <f aca="false">IF(OR(G237="",G237=0,H237=""),"",H237/G237)</f>
        <v/>
      </c>
    </row>
    <row r="238" customFormat="false" ht="15" hidden="false" customHeight="false" outlineLevel="0" collapsed="false">
      <c r="A238" s="12"/>
      <c r="B238" s="6"/>
      <c r="C238" s="13" t="str">
        <f aca="false">IF(B238="","",IFERROR(INDEX(สินค้า!$B$2:$B$101,MATCH(B238,สินค้า!$A$2:$A$101,0)),"ไม่พบรหัส"))</f>
        <v/>
      </c>
      <c r="D238" s="14" t="str">
        <f aca="false">IF(B238="","",IFERROR(INDEX(สินค้า!$D$2:$D$101,MATCH(B238,สินค้า!$A$2:$A$101,0)),""))</f>
        <v/>
      </c>
      <c r="E238" s="6"/>
      <c r="F238" s="8"/>
      <c r="G238" s="8"/>
      <c r="H238" s="8"/>
      <c r="I238" s="15"/>
      <c r="J238" s="15"/>
      <c r="K238" s="10" t="str">
        <f aca="false">IF(J238&lt;&gt;"",J238,IF(I238="","",I238*IFERROR(INDEX(สินค้า!$G$2:$G$101,MATCH(B238,สินค้า!$A$2:$A$101,0)),0)))</f>
        <v/>
      </c>
      <c r="L238" s="16" t="str">
        <f aca="false">IF(OR(F238="",F238=0,G238=""),"",G238/F238)</f>
        <v/>
      </c>
      <c r="M238" s="16" t="str">
        <f aca="false">IF(OR(G238="",G238=0,H238=""),"",H238/G238)</f>
        <v/>
      </c>
    </row>
    <row r="239" customFormat="false" ht="15" hidden="false" customHeight="false" outlineLevel="0" collapsed="false">
      <c r="A239" s="12"/>
      <c r="B239" s="6"/>
      <c r="C239" s="13" t="str">
        <f aca="false">IF(B239="","",IFERROR(INDEX(สินค้า!$B$2:$B$101,MATCH(B239,สินค้า!$A$2:$A$101,0)),"ไม่พบรหัส"))</f>
        <v/>
      </c>
      <c r="D239" s="14" t="str">
        <f aca="false">IF(B239="","",IFERROR(INDEX(สินค้า!$D$2:$D$101,MATCH(B239,สินค้า!$A$2:$A$101,0)),""))</f>
        <v/>
      </c>
      <c r="E239" s="6"/>
      <c r="F239" s="8"/>
      <c r="G239" s="8"/>
      <c r="H239" s="8"/>
      <c r="I239" s="15"/>
      <c r="J239" s="15"/>
      <c r="K239" s="10" t="str">
        <f aca="false">IF(J239&lt;&gt;"",J239,IF(I239="","",I239*IFERROR(INDEX(สินค้า!$G$2:$G$101,MATCH(B239,สินค้า!$A$2:$A$101,0)),0)))</f>
        <v/>
      </c>
      <c r="L239" s="16" t="str">
        <f aca="false">IF(OR(F239="",F239=0,G239=""),"",G239/F239)</f>
        <v/>
      </c>
      <c r="M239" s="16" t="str">
        <f aca="false">IF(OR(G239="",G239=0,H239=""),"",H239/G239)</f>
        <v/>
      </c>
    </row>
    <row r="240" customFormat="false" ht="15" hidden="false" customHeight="false" outlineLevel="0" collapsed="false">
      <c r="A240" s="12"/>
      <c r="B240" s="6"/>
      <c r="C240" s="13" t="str">
        <f aca="false">IF(B240="","",IFERROR(INDEX(สินค้า!$B$2:$B$101,MATCH(B240,สินค้า!$A$2:$A$101,0)),"ไม่พบรหัส"))</f>
        <v/>
      </c>
      <c r="D240" s="14" t="str">
        <f aca="false">IF(B240="","",IFERROR(INDEX(สินค้า!$D$2:$D$101,MATCH(B240,สินค้า!$A$2:$A$101,0)),""))</f>
        <v/>
      </c>
      <c r="E240" s="6"/>
      <c r="F240" s="8"/>
      <c r="G240" s="8"/>
      <c r="H240" s="8"/>
      <c r="I240" s="15"/>
      <c r="J240" s="15"/>
      <c r="K240" s="10" t="str">
        <f aca="false">IF(J240&lt;&gt;"",J240,IF(I240="","",I240*IFERROR(INDEX(สินค้า!$G$2:$G$101,MATCH(B240,สินค้า!$A$2:$A$101,0)),0)))</f>
        <v/>
      </c>
      <c r="L240" s="16" t="str">
        <f aca="false">IF(OR(F240="",F240=0,G240=""),"",G240/F240)</f>
        <v/>
      </c>
      <c r="M240" s="16" t="str">
        <f aca="false">IF(OR(G240="",G240=0,H240=""),"",H240/G240)</f>
        <v/>
      </c>
    </row>
    <row r="241" customFormat="false" ht="15" hidden="false" customHeight="false" outlineLevel="0" collapsed="false">
      <c r="A241" s="12"/>
      <c r="B241" s="6"/>
      <c r="C241" s="13" t="str">
        <f aca="false">IF(B241="","",IFERROR(INDEX(สินค้า!$B$2:$B$101,MATCH(B241,สินค้า!$A$2:$A$101,0)),"ไม่พบรหัส"))</f>
        <v/>
      </c>
      <c r="D241" s="14" t="str">
        <f aca="false">IF(B241="","",IFERROR(INDEX(สินค้า!$D$2:$D$101,MATCH(B241,สินค้า!$A$2:$A$101,0)),""))</f>
        <v/>
      </c>
      <c r="E241" s="6"/>
      <c r="F241" s="8"/>
      <c r="G241" s="8"/>
      <c r="H241" s="8"/>
      <c r="I241" s="15"/>
      <c r="J241" s="15"/>
      <c r="K241" s="10" t="str">
        <f aca="false">IF(J241&lt;&gt;"",J241,IF(I241="","",I241*IFERROR(INDEX(สินค้า!$G$2:$G$101,MATCH(B241,สินค้า!$A$2:$A$101,0)),0)))</f>
        <v/>
      </c>
      <c r="L241" s="16" t="str">
        <f aca="false">IF(OR(F241="",F241=0,G241=""),"",G241/F241)</f>
        <v/>
      </c>
      <c r="M241" s="16" t="str">
        <f aca="false">IF(OR(G241="",G241=0,H241=""),"",H241/G241)</f>
        <v/>
      </c>
    </row>
    <row r="242" customFormat="false" ht="15" hidden="false" customHeight="false" outlineLevel="0" collapsed="false">
      <c r="A242" s="12"/>
      <c r="B242" s="6"/>
      <c r="C242" s="13" t="str">
        <f aca="false">IF(B242="","",IFERROR(INDEX(สินค้า!$B$2:$B$101,MATCH(B242,สินค้า!$A$2:$A$101,0)),"ไม่พบรหัส"))</f>
        <v/>
      </c>
      <c r="D242" s="14" t="str">
        <f aca="false">IF(B242="","",IFERROR(INDEX(สินค้า!$D$2:$D$101,MATCH(B242,สินค้า!$A$2:$A$101,0)),""))</f>
        <v/>
      </c>
      <c r="E242" s="6"/>
      <c r="F242" s="8"/>
      <c r="G242" s="8"/>
      <c r="H242" s="8"/>
      <c r="I242" s="15"/>
      <c r="J242" s="15"/>
      <c r="K242" s="10" t="str">
        <f aca="false">IF(J242&lt;&gt;"",J242,IF(I242="","",I242*IFERROR(INDEX(สินค้า!$G$2:$G$101,MATCH(B242,สินค้า!$A$2:$A$101,0)),0)))</f>
        <v/>
      </c>
      <c r="L242" s="16" t="str">
        <f aca="false">IF(OR(F242="",F242=0,G242=""),"",G242/F242)</f>
        <v/>
      </c>
      <c r="M242" s="16" t="str">
        <f aca="false">IF(OR(G242="",G242=0,H242=""),"",H242/G242)</f>
        <v/>
      </c>
    </row>
    <row r="243" customFormat="false" ht="15" hidden="false" customHeight="false" outlineLevel="0" collapsed="false">
      <c r="A243" s="12"/>
      <c r="B243" s="6"/>
      <c r="C243" s="13" t="str">
        <f aca="false">IF(B243="","",IFERROR(INDEX(สินค้า!$B$2:$B$101,MATCH(B243,สินค้า!$A$2:$A$101,0)),"ไม่พบรหัส"))</f>
        <v/>
      </c>
      <c r="D243" s="14" t="str">
        <f aca="false">IF(B243="","",IFERROR(INDEX(สินค้า!$D$2:$D$101,MATCH(B243,สินค้า!$A$2:$A$101,0)),""))</f>
        <v/>
      </c>
      <c r="E243" s="6"/>
      <c r="F243" s="8"/>
      <c r="G243" s="8"/>
      <c r="H243" s="8"/>
      <c r="I243" s="15"/>
      <c r="J243" s="15"/>
      <c r="K243" s="10" t="str">
        <f aca="false">IF(J243&lt;&gt;"",J243,IF(I243="","",I243*IFERROR(INDEX(สินค้า!$G$2:$G$101,MATCH(B243,สินค้า!$A$2:$A$101,0)),0)))</f>
        <v/>
      </c>
      <c r="L243" s="16" t="str">
        <f aca="false">IF(OR(F243="",F243=0,G243=""),"",G243/F243)</f>
        <v/>
      </c>
      <c r="M243" s="16" t="str">
        <f aca="false">IF(OR(G243="",G243=0,H243=""),"",H243/G243)</f>
        <v/>
      </c>
    </row>
    <row r="244" customFormat="false" ht="15" hidden="false" customHeight="false" outlineLevel="0" collapsed="false">
      <c r="A244" s="12"/>
      <c r="B244" s="6"/>
      <c r="C244" s="13" t="str">
        <f aca="false">IF(B244="","",IFERROR(INDEX(สินค้า!$B$2:$B$101,MATCH(B244,สินค้า!$A$2:$A$101,0)),"ไม่พบรหัส"))</f>
        <v/>
      </c>
      <c r="D244" s="14" t="str">
        <f aca="false">IF(B244="","",IFERROR(INDEX(สินค้า!$D$2:$D$101,MATCH(B244,สินค้า!$A$2:$A$101,0)),""))</f>
        <v/>
      </c>
      <c r="E244" s="6"/>
      <c r="F244" s="8"/>
      <c r="G244" s="8"/>
      <c r="H244" s="8"/>
      <c r="I244" s="15"/>
      <c r="J244" s="15"/>
      <c r="K244" s="10" t="str">
        <f aca="false">IF(J244&lt;&gt;"",J244,IF(I244="","",I244*IFERROR(INDEX(สินค้า!$G$2:$G$101,MATCH(B244,สินค้า!$A$2:$A$101,0)),0)))</f>
        <v/>
      </c>
      <c r="L244" s="16" t="str">
        <f aca="false">IF(OR(F244="",F244=0,G244=""),"",G244/F244)</f>
        <v/>
      </c>
      <c r="M244" s="16" t="str">
        <f aca="false">IF(OR(G244="",G244=0,H244=""),"",H244/G244)</f>
        <v/>
      </c>
    </row>
    <row r="245" customFormat="false" ht="15" hidden="false" customHeight="false" outlineLevel="0" collapsed="false">
      <c r="A245" s="12"/>
      <c r="B245" s="6"/>
      <c r="C245" s="13" t="str">
        <f aca="false">IF(B245="","",IFERROR(INDEX(สินค้า!$B$2:$B$101,MATCH(B245,สินค้า!$A$2:$A$101,0)),"ไม่พบรหัส"))</f>
        <v/>
      </c>
      <c r="D245" s="14" t="str">
        <f aca="false">IF(B245="","",IFERROR(INDEX(สินค้า!$D$2:$D$101,MATCH(B245,สินค้า!$A$2:$A$101,0)),""))</f>
        <v/>
      </c>
      <c r="E245" s="6"/>
      <c r="F245" s="8"/>
      <c r="G245" s="8"/>
      <c r="H245" s="8"/>
      <c r="I245" s="15"/>
      <c r="J245" s="15"/>
      <c r="K245" s="10" t="str">
        <f aca="false">IF(J245&lt;&gt;"",J245,IF(I245="","",I245*IFERROR(INDEX(สินค้า!$G$2:$G$101,MATCH(B245,สินค้า!$A$2:$A$101,0)),0)))</f>
        <v/>
      </c>
      <c r="L245" s="16" t="str">
        <f aca="false">IF(OR(F245="",F245=0,G245=""),"",G245/F245)</f>
        <v/>
      </c>
      <c r="M245" s="16" t="str">
        <f aca="false">IF(OR(G245="",G245=0,H245=""),"",H245/G245)</f>
        <v/>
      </c>
    </row>
    <row r="246" customFormat="false" ht="15" hidden="false" customHeight="false" outlineLevel="0" collapsed="false">
      <c r="A246" s="12"/>
      <c r="B246" s="6"/>
      <c r="C246" s="13" t="str">
        <f aca="false">IF(B246="","",IFERROR(INDEX(สินค้า!$B$2:$B$101,MATCH(B246,สินค้า!$A$2:$A$101,0)),"ไม่พบรหัส"))</f>
        <v/>
      </c>
      <c r="D246" s="14" t="str">
        <f aca="false">IF(B246="","",IFERROR(INDEX(สินค้า!$D$2:$D$101,MATCH(B246,สินค้า!$A$2:$A$101,0)),""))</f>
        <v/>
      </c>
      <c r="E246" s="6"/>
      <c r="F246" s="8"/>
      <c r="G246" s="8"/>
      <c r="H246" s="8"/>
      <c r="I246" s="15"/>
      <c r="J246" s="15"/>
      <c r="K246" s="10" t="str">
        <f aca="false">IF(J246&lt;&gt;"",J246,IF(I246="","",I246*IFERROR(INDEX(สินค้า!$G$2:$G$101,MATCH(B246,สินค้า!$A$2:$A$101,0)),0)))</f>
        <v/>
      </c>
      <c r="L246" s="16" t="str">
        <f aca="false">IF(OR(F246="",F246=0,G246=""),"",G246/F246)</f>
        <v/>
      </c>
      <c r="M246" s="16" t="str">
        <f aca="false">IF(OR(G246="",G246=0,H246=""),"",H246/G246)</f>
        <v/>
      </c>
    </row>
    <row r="247" customFormat="false" ht="15" hidden="false" customHeight="false" outlineLevel="0" collapsed="false">
      <c r="A247" s="12"/>
      <c r="B247" s="6"/>
      <c r="C247" s="13" t="str">
        <f aca="false">IF(B247="","",IFERROR(INDEX(สินค้า!$B$2:$B$101,MATCH(B247,สินค้า!$A$2:$A$101,0)),"ไม่พบรหัส"))</f>
        <v/>
      </c>
      <c r="D247" s="14" t="str">
        <f aca="false">IF(B247="","",IFERROR(INDEX(สินค้า!$D$2:$D$101,MATCH(B247,สินค้า!$A$2:$A$101,0)),""))</f>
        <v/>
      </c>
      <c r="E247" s="6"/>
      <c r="F247" s="8"/>
      <c r="G247" s="8"/>
      <c r="H247" s="8"/>
      <c r="I247" s="15"/>
      <c r="J247" s="15"/>
      <c r="K247" s="10" t="str">
        <f aca="false">IF(J247&lt;&gt;"",J247,IF(I247="","",I247*IFERROR(INDEX(สินค้า!$G$2:$G$101,MATCH(B247,สินค้า!$A$2:$A$101,0)),0)))</f>
        <v/>
      </c>
      <c r="L247" s="16" t="str">
        <f aca="false">IF(OR(F247="",F247=0,G247=""),"",G247/F247)</f>
        <v/>
      </c>
      <c r="M247" s="16" t="str">
        <f aca="false">IF(OR(G247="",G247=0,H247=""),"",H247/G247)</f>
        <v/>
      </c>
    </row>
    <row r="248" customFormat="false" ht="15" hidden="false" customHeight="false" outlineLevel="0" collapsed="false">
      <c r="A248" s="12"/>
      <c r="B248" s="6"/>
      <c r="C248" s="13" t="str">
        <f aca="false">IF(B248="","",IFERROR(INDEX(สินค้า!$B$2:$B$101,MATCH(B248,สินค้า!$A$2:$A$101,0)),"ไม่พบรหัส"))</f>
        <v/>
      </c>
      <c r="D248" s="14" t="str">
        <f aca="false">IF(B248="","",IFERROR(INDEX(สินค้า!$D$2:$D$101,MATCH(B248,สินค้า!$A$2:$A$101,0)),""))</f>
        <v/>
      </c>
      <c r="E248" s="6"/>
      <c r="F248" s="8"/>
      <c r="G248" s="8"/>
      <c r="H248" s="8"/>
      <c r="I248" s="15"/>
      <c r="J248" s="15"/>
      <c r="K248" s="10" t="str">
        <f aca="false">IF(J248&lt;&gt;"",J248,IF(I248="","",I248*IFERROR(INDEX(สินค้า!$G$2:$G$101,MATCH(B248,สินค้า!$A$2:$A$101,0)),0)))</f>
        <v/>
      </c>
      <c r="L248" s="16" t="str">
        <f aca="false">IF(OR(F248="",F248=0,G248=""),"",G248/F248)</f>
        <v/>
      </c>
      <c r="M248" s="16" t="str">
        <f aca="false">IF(OR(G248="",G248=0,H248=""),"",H248/G248)</f>
        <v/>
      </c>
    </row>
    <row r="249" customFormat="false" ht="15" hidden="false" customHeight="false" outlineLevel="0" collapsed="false">
      <c r="A249" s="12"/>
      <c r="B249" s="6"/>
      <c r="C249" s="13" t="str">
        <f aca="false">IF(B249="","",IFERROR(INDEX(สินค้า!$B$2:$B$101,MATCH(B249,สินค้า!$A$2:$A$101,0)),"ไม่พบรหัส"))</f>
        <v/>
      </c>
      <c r="D249" s="14" t="str">
        <f aca="false">IF(B249="","",IFERROR(INDEX(สินค้า!$D$2:$D$101,MATCH(B249,สินค้า!$A$2:$A$101,0)),""))</f>
        <v/>
      </c>
      <c r="E249" s="6"/>
      <c r="F249" s="8"/>
      <c r="G249" s="8"/>
      <c r="H249" s="8"/>
      <c r="I249" s="15"/>
      <c r="J249" s="15"/>
      <c r="K249" s="10" t="str">
        <f aca="false">IF(J249&lt;&gt;"",J249,IF(I249="","",I249*IFERROR(INDEX(สินค้า!$G$2:$G$101,MATCH(B249,สินค้า!$A$2:$A$101,0)),0)))</f>
        <v/>
      </c>
      <c r="L249" s="16" t="str">
        <f aca="false">IF(OR(F249="",F249=0,G249=""),"",G249/F249)</f>
        <v/>
      </c>
      <c r="M249" s="16" t="str">
        <f aca="false">IF(OR(G249="",G249=0,H249=""),"",H249/G249)</f>
        <v/>
      </c>
    </row>
    <row r="250" customFormat="false" ht="15" hidden="false" customHeight="false" outlineLevel="0" collapsed="false">
      <c r="A250" s="12"/>
      <c r="B250" s="6"/>
      <c r="C250" s="13" t="str">
        <f aca="false">IF(B250="","",IFERROR(INDEX(สินค้า!$B$2:$B$101,MATCH(B250,สินค้า!$A$2:$A$101,0)),"ไม่พบรหัส"))</f>
        <v/>
      </c>
      <c r="D250" s="14" t="str">
        <f aca="false">IF(B250="","",IFERROR(INDEX(สินค้า!$D$2:$D$101,MATCH(B250,สินค้า!$A$2:$A$101,0)),""))</f>
        <v/>
      </c>
      <c r="E250" s="6"/>
      <c r="F250" s="8"/>
      <c r="G250" s="8"/>
      <c r="H250" s="8"/>
      <c r="I250" s="15"/>
      <c r="J250" s="15"/>
      <c r="K250" s="10" t="str">
        <f aca="false">IF(J250&lt;&gt;"",J250,IF(I250="","",I250*IFERROR(INDEX(สินค้า!$G$2:$G$101,MATCH(B250,สินค้า!$A$2:$A$101,0)),0)))</f>
        <v/>
      </c>
      <c r="L250" s="16" t="str">
        <f aca="false">IF(OR(F250="",F250=0,G250=""),"",G250/F250)</f>
        <v/>
      </c>
      <c r="M250" s="16" t="str">
        <f aca="false">IF(OR(G250="",G250=0,H250=""),"",H250/G250)</f>
        <v/>
      </c>
    </row>
    <row r="251" customFormat="false" ht="15" hidden="false" customHeight="false" outlineLevel="0" collapsed="false">
      <c r="A251" s="12"/>
      <c r="B251" s="6"/>
      <c r="C251" s="13" t="str">
        <f aca="false">IF(B251="","",IFERROR(INDEX(สินค้า!$B$2:$B$101,MATCH(B251,สินค้า!$A$2:$A$101,0)),"ไม่พบรหัส"))</f>
        <v/>
      </c>
      <c r="D251" s="14" t="str">
        <f aca="false">IF(B251="","",IFERROR(INDEX(สินค้า!$D$2:$D$101,MATCH(B251,สินค้า!$A$2:$A$101,0)),""))</f>
        <v/>
      </c>
      <c r="E251" s="6"/>
      <c r="F251" s="8"/>
      <c r="G251" s="8"/>
      <c r="H251" s="8"/>
      <c r="I251" s="15"/>
      <c r="J251" s="15"/>
      <c r="K251" s="10" t="str">
        <f aca="false">IF(J251&lt;&gt;"",J251,IF(I251="","",I251*IFERROR(INDEX(สินค้า!$G$2:$G$101,MATCH(B251,สินค้า!$A$2:$A$101,0)),0)))</f>
        <v/>
      </c>
      <c r="L251" s="16" t="str">
        <f aca="false">IF(OR(F251="",F251=0,G251=""),"",G251/F251)</f>
        <v/>
      </c>
      <c r="M251" s="16" t="str">
        <f aca="false">IF(OR(G251="",G251=0,H251=""),"",H251/G251)</f>
        <v/>
      </c>
    </row>
    <row r="252" customFormat="false" ht="15" hidden="false" customHeight="false" outlineLevel="0" collapsed="false">
      <c r="A252" s="12"/>
      <c r="B252" s="6"/>
      <c r="C252" s="13" t="str">
        <f aca="false">IF(B252="","",IFERROR(INDEX(สินค้า!$B$2:$B$101,MATCH(B252,สินค้า!$A$2:$A$101,0)),"ไม่พบรหัส"))</f>
        <v/>
      </c>
      <c r="D252" s="14" t="str">
        <f aca="false">IF(B252="","",IFERROR(INDEX(สินค้า!$D$2:$D$101,MATCH(B252,สินค้า!$A$2:$A$101,0)),""))</f>
        <v/>
      </c>
      <c r="E252" s="6"/>
      <c r="F252" s="8"/>
      <c r="G252" s="8"/>
      <c r="H252" s="8"/>
      <c r="I252" s="15"/>
      <c r="J252" s="15"/>
      <c r="K252" s="10" t="str">
        <f aca="false">IF(J252&lt;&gt;"",J252,IF(I252="","",I252*IFERROR(INDEX(สินค้า!$G$2:$G$101,MATCH(B252,สินค้า!$A$2:$A$101,0)),0)))</f>
        <v/>
      </c>
      <c r="L252" s="16" t="str">
        <f aca="false">IF(OR(F252="",F252=0,G252=""),"",G252/F252)</f>
        <v/>
      </c>
      <c r="M252" s="16" t="str">
        <f aca="false">IF(OR(G252="",G252=0,H252=""),"",H252/G252)</f>
        <v/>
      </c>
    </row>
    <row r="253" customFormat="false" ht="15" hidden="false" customHeight="false" outlineLevel="0" collapsed="false">
      <c r="A253" s="12"/>
      <c r="B253" s="6"/>
      <c r="C253" s="13" t="str">
        <f aca="false">IF(B253="","",IFERROR(INDEX(สินค้า!$B$2:$B$101,MATCH(B253,สินค้า!$A$2:$A$101,0)),"ไม่พบรหัส"))</f>
        <v/>
      </c>
      <c r="D253" s="14" t="str">
        <f aca="false">IF(B253="","",IFERROR(INDEX(สินค้า!$D$2:$D$101,MATCH(B253,สินค้า!$A$2:$A$101,0)),""))</f>
        <v/>
      </c>
      <c r="E253" s="6"/>
      <c r="F253" s="8"/>
      <c r="G253" s="8"/>
      <c r="H253" s="8"/>
      <c r="I253" s="15"/>
      <c r="J253" s="15"/>
      <c r="K253" s="10" t="str">
        <f aca="false">IF(J253&lt;&gt;"",J253,IF(I253="","",I253*IFERROR(INDEX(สินค้า!$G$2:$G$101,MATCH(B253,สินค้า!$A$2:$A$101,0)),0)))</f>
        <v/>
      </c>
      <c r="L253" s="16" t="str">
        <f aca="false">IF(OR(F253="",F253=0,G253=""),"",G253/F253)</f>
        <v/>
      </c>
      <c r="M253" s="16" t="str">
        <f aca="false">IF(OR(G253="",G253=0,H253=""),"",H253/G253)</f>
        <v/>
      </c>
    </row>
    <row r="254" customFormat="false" ht="15" hidden="false" customHeight="false" outlineLevel="0" collapsed="false">
      <c r="A254" s="12"/>
      <c r="B254" s="6"/>
      <c r="C254" s="13" t="str">
        <f aca="false">IF(B254="","",IFERROR(INDEX(สินค้า!$B$2:$B$101,MATCH(B254,สินค้า!$A$2:$A$101,0)),"ไม่พบรหัส"))</f>
        <v/>
      </c>
      <c r="D254" s="14" t="str">
        <f aca="false">IF(B254="","",IFERROR(INDEX(สินค้า!$D$2:$D$101,MATCH(B254,สินค้า!$A$2:$A$101,0)),""))</f>
        <v/>
      </c>
      <c r="E254" s="6"/>
      <c r="F254" s="8"/>
      <c r="G254" s="8"/>
      <c r="H254" s="8"/>
      <c r="I254" s="15"/>
      <c r="J254" s="15"/>
      <c r="K254" s="10" t="str">
        <f aca="false">IF(J254&lt;&gt;"",J254,IF(I254="","",I254*IFERROR(INDEX(สินค้า!$G$2:$G$101,MATCH(B254,สินค้า!$A$2:$A$101,0)),0)))</f>
        <v/>
      </c>
      <c r="L254" s="16" t="str">
        <f aca="false">IF(OR(F254="",F254=0,G254=""),"",G254/F254)</f>
        <v/>
      </c>
      <c r="M254" s="16" t="str">
        <f aca="false">IF(OR(G254="",G254=0,H254=""),"",H254/G254)</f>
        <v/>
      </c>
    </row>
    <row r="255" customFormat="false" ht="15" hidden="false" customHeight="false" outlineLevel="0" collapsed="false">
      <c r="A255" s="12"/>
      <c r="B255" s="6"/>
      <c r="C255" s="13" t="str">
        <f aca="false">IF(B255="","",IFERROR(INDEX(สินค้า!$B$2:$B$101,MATCH(B255,สินค้า!$A$2:$A$101,0)),"ไม่พบรหัส"))</f>
        <v/>
      </c>
      <c r="D255" s="14" t="str">
        <f aca="false">IF(B255="","",IFERROR(INDEX(สินค้า!$D$2:$D$101,MATCH(B255,สินค้า!$A$2:$A$101,0)),""))</f>
        <v/>
      </c>
      <c r="E255" s="6"/>
      <c r="F255" s="8"/>
      <c r="G255" s="8"/>
      <c r="H255" s="8"/>
      <c r="I255" s="15"/>
      <c r="J255" s="15"/>
      <c r="K255" s="10" t="str">
        <f aca="false">IF(J255&lt;&gt;"",J255,IF(I255="","",I255*IFERROR(INDEX(สินค้า!$G$2:$G$101,MATCH(B255,สินค้า!$A$2:$A$101,0)),0)))</f>
        <v/>
      </c>
      <c r="L255" s="16" t="str">
        <f aca="false">IF(OR(F255="",F255=0,G255=""),"",G255/F255)</f>
        <v/>
      </c>
      <c r="M255" s="16" t="str">
        <f aca="false">IF(OR(G255="",G255=0,H255=""),"",H255/G255)</f>
        <v/>
      </c>
    </row>
    <row r="256" customFormat="false" ht="15" hidden="false" customHeight="false" outlineLevel="0" collapsed="false">
      <c r="A256" s="12"/>
      <c r="B256" s="6"/>
      <c r="C256" s="13" t="str">
        <f aca="false">IF(B256="","",IFERROR(INDEX(สินค้า!$B$2:$B$101,MATCH(B256,สินค้า!$A$2:$A$101,0)),"ไม่พบรหัส"))</f>
        <v/>
      </c>
      <c r="D256" s="14" t="str">
        <f aca="false">IF(B256="","",IFERROR(INDEX(สินค้า!$D$2:$D$101,MATCH(B256,สินค้า!$A$2:$A$101,0)),""))</f>
        <v/>
      </c>
      <c r="E256" s="6"/>
      <c r="F256" s="8"/>
      <c r="G256" s="8"/>
      <c r="H256" s="8"/>
      <c r="I256" s="15"/>
      <c r="J256" s="15"/>
      <c r="K256" s="10" t="str">
        <f aca="false">IF(J256&lt;&gt;"",J256,IF(I256="","",I256*IFERROR(INDEX(สินค้า!$G$2:$G$101,MATCH(B256,สินค้า!$A$2:$A$101,0)),0)))</f>
        <v/>
      </c>
      <c r="L256" s="16" t="str">
        <f aca="false">IF(OR(F256="",F256=0,G256=""),"",G256/F256)</f>
        <v/>
      </c>
      <c r="M256" s="16" t="str">
        <f aca="false">IF(OR(G256="",G256=0,H256=""),"",H256/G256)</f>
        <v/>
      </c>
    </row>
    <row r="257" customFormat="false" ht="15" hidden="false" customHeight="false" outlineLevel="0" collapsed="false">
      <c r="A257" s="12"/>
      <c r="B257" s="6"/>
      <c r="C257" s="13" t="str">
        <f aca="false">IF(B257="","",IFERROR(INDEX(สินค้า!$B$2:$B$101,MATCH(B257,สินค้า!$A$2:$A$101,0)),"ไม่พบรหัส"))</f>
        <v/>
      </c>
      <c r="D257" s="14" t="str">
        <f aca="false">IF(B257="","",IFERROR(INDEX(สินค้า!$D$2:$D$101,MATCH(B257,สินค้า!$A$2:$A$101,0)),""))</f>
        <v/>
      </c>
      <c r="E257" s="6"/>
      <c r="F257" s="8"/>
      <c r="G257" s="8"/>
      <c r="H257" s="8"/>
      <c r="I257" s="15"/>
      <c r="J257" s="15"/>
      <c r="K257" s="10" t="str">
        <f aca="false">IF(J257&lt;&gt;"",J257,IF(I257="","",I257*IFERROR(INDEX(สินค้า!$G$2:$G$101,MATCH(B257,สินค้า!$A$2:$A$101,0)),0)))</f>
        <v/>
      </c>
      <c r="L257" s="16" t="str">
        <f aca="false">IF(OR(F257="",F257=0,G257=""),"",G257/F257)</f>
        <v/>
      </c>
      <c r="M257" s="16" t="str">
        <f aca="false">IF(OR(G257="",G257=0,H257=""),"",H257/G257)</f>
        <v/>
      </c>
    </row>
    <row r="258" customFormat="false" ht="15" hidden="false" customHeight="false" outlineLevel="0" collapsed="false">
      <c r="A258" s="12"/>
      <c r="B258" s="6"/>
      <c r="C258" s="13" t="str">
        <f aca="false">IF(B258="","",IFERROR(INDEX(สินค้า!$B$2:$B$101,MATCH(B258,สินค้า!$A$2:$A$101,0)),"ไม่พบรหัส"))</f>
        <v/>
      </c>
      <c r="D258" s="14" t="str">
        <f aca="false">IF(B258="","",IFERROR(INDEX(สินค้า!$D$2:$D$101,MATCH(B258,สินค้า!$A$2:$A$101,0)),""))</f>
        <v/>
      </c>
      <c r="E258" s="6"/>
      <c r="F258" s="8"/>
      <c r="G258" s="8"/>
      <c r="H258" s="8"/>
      <c r="I258" s="15"/>
      <c r="J258" s="15"/>
      <c r="K258" s="10" t="str">
        <f aca="false">IF(J258&lt;&gt;"",J258,IF(I258="","",I258*IFERROR(INDEX(สินค้า!$G$2:$G$101,MATCH(B258,สินค้า!$A$2:$A$101,0)),0)))</f>
        <v/>
      </c>
      <c r="L258" s="16" t="str">
        <f aca="false">IF(OR(F258="",F258=0,G258=""),"",G258/F258)</f>
        <v/>
      </c>
      <c r="M258" s="16" t="str">
        <f aca="false">IF(OR(G258="",G258=0,H258=""),"",H258/G258)</f>
        <v/>
      </c>
    </row>
    <row r="259" customFormat="false" ht="15" hidden="false" customHeight="false" outlineLevel="0" collapsed="false">
      <c r="A259" s="12"/>
      <c r="B259" s="6"/>
      <c r="C259" s="13" t="str">
        <f aca="false">IF(B259="","",IFERROR(INDEX(สินค้า!$B$2:$B$101,MATCH(B259,สินค้า!$A$2:$A$101,0)),"ไม่พบรหัส"))</f>
        <v/>
      </c>
      <c r="D259" s="14" t="str">
        <f aca="false">IF(B259="","",IFERROR(INDEX(สินค้า!$D$2:$D$101,MATCH(B259,สินค้า!$A$2:$A$101,0)),""))</f>
        <v/>
      </c>
      <c r="E259" s="6"/>
      <c r="F259" s="8"/>
      <c r="G259" s="8"/>
      <c r="H259" s="8"/>
      <c r="I259" s="15"/>
      <c r="J259" s="15"/>
      <c r="K259" s="10" t="str">
        <f aca="false">IF(J259&lt;&gt;"",J259,IF(I259="","",I259*IFERROR(INDEX(สินค้า!$G$2:$G$101,MATCH(B259,สินค้า!$A$2:$A$101,0)),0)))</f>
        <v/>
      </c>
      <c r="L259" s="16" t="str">
        <f aca="false">IF(OR(F259="",F259=0,G259=""),"",G259/F259)</f>
        <v/>
      </c>
      <c r="M259" s="16" t="str">
        <f aca="false">IF(OR(G259="",G259=0,H259=""),"",H259/G259)</f>
        <v/>
      </c>
    </row>
    <row r="260" customFormat="false" ht="15" hidden="false" customHeight="false" outlineLevel="0" collapsed="false">
      <c r="A260" s="12"/>
      <c r="B260" s="6"/>
      <c r="C260" s="13" t="str">
        <f aca="false">IF(B260="","",IFERROR(INDEX(สินค้า!$B$2:$B$101,MATCH(B260,สินค้า!$A$2:$A$101,0)),"ไม่พบรหัส"))</f>
        <v/>
      </c>
      <c r="D260" s="14" t="str">
        <f aca="false">IF(B260="","",IFERROR(INDEX(สินค้า!$D$2:$D$101,MATCH(B260,สินค้า!$A$2:$A$101,0)),""))</f>
        <v/>
      </c>
      <c r="E260" s="6"/>
      <c r="F260" s="8"/>
      <c r="G260" s="8"/>
      <c r="H260" s="8"/>
      <c r="I260" s="15"/>
      <c r="J260" s="15"/>
      <c r="K260" s="10" t="str">
        <f aca="false">IF(J260&lt;&gt;"",J260,IF(I260="","",I260*IFERROR(INDEX(สินค้า!$G$2:$G$101,MATCH(B260,สินค้า!$A$2:$A$101,0)),0)))</f>
        <v/>
      </c>
      <c r="L260" s="16" t="str">
        <f aca="false">IF(OR(F260="",F260=0,G260=""),"",G260/F260)</f>
        <v/>
      </c>
      <c r="M260" s="16" t="str">
        <f aca="false">IF(OR(G260="",G260=0,H260=""),"",H260/G260)</f>
        <v/>
      </c>
    </row>
    <row r="261" customFormat="false" ht="15" hidden="false" customHeight="false" outlineLevel="0" collapsed="false">
      <c r="A261" s="12"/>
      <c r="B261" s="6"/>
      <c r="C261" s="13" t="str">
        <f aca="false">IF(B261="","",IFERROR(INDEX(สินค้า!$B$2:$B$101,MATCH(B261,สินค้า!$A$2:$A$101,0)),"ไม่พบรหัส"))</f>
        <v/>
      </c>
      <c r="D261" s="14" t="str">
        <f aca="false">IF(B261="","",IFERROR(INDEX(สินค้า!$D$2:$D$101,MATCH(B261,สินค้า!$A$2:$A$101,0)),""))</f>
        <v/>
      </c>
      <c r="E261" s="6"/>
      <c r="F261" s="8"/>
      <c r="G261" s="8"/>
      <c r="H261" s="8"/>
      <c r="I261" s="15"/>
      <c r="J261" s="15"/>
      <c r="K261" s="10" t="str">
        <f aca="false">IF(J261&lt;&gt;"",J261,IF(I261="","",I261*IFERROR(INDEX(สินค้า!$G$2:$G$101,MATCH(B261,สินค้า!$A$2:$A$101,0)),0)))</f>
        <v/>
      </c>
      <c r="L261" s="16" t="str">
        <f aca="false">IF(OR(F261="",F261=0,G261=""),"",G261/F261)</f>
        <v/>
      </c>
      <c r="M261" s="16" t="str">
        <f aca="false">IF(OR(G261="",G261=0,H261=""),"",H261/G261)</f>
        <v/>
      </c>
    </row>
    <row r="262" customFormat="false" ht="15" hidden="false" customHeight="false" outlineLevel="0" collapsed="false">
      <c r="A262" s="12"/>
      <c r="B262" s="6"/>
      <c r="C262" s="13" t="str">
        <f aca="false">IF(B262="","",IFERROR(INDEX(สินค้า!$B$2:$B$101,MATCH(B262,สินค้า!$A$2:$A$101,0)),"ไม่พบรหัส"))</f>
        <v/>
      </c>
      <c r="D262" s="14" t="str">
        <f aca="false">IF(B262="","",IFERROR(INDEX(สินค้า!$D$2:$D$101,MATCH(B262,สินค้า!$A$2:$A$101,0)),""))</f>
        <v/>
      </c>
      <c r="E262" s="6"/>
      <c r="F262" s="8"/>
      <c r="G262" s="8"/>
      <c r="H262" s="8"/>
      <c r="I262" s="15"/>
      <c r="J262" s="15"/>
      <c r="K262" s="10" t="str">
        <f aca="false">IF(J262&lt;&gt;"",J262,IF(I262="","",I262*IFERROR(INDEX(สินค้า!$G$2:$G$101,MATCH(B262,สินค้า!$A$2:$A$101,0)),0)))</f>
        <v/>
      </c>
      <c r="L262" s="16" t="str">
        <f aca="false">IF(OR(F262="",F262=0,G262=""),"",G262/F262)</f>
        <v/>
      </c>
      <c r="M262" s="16" t="str">
        <f aca="false">IF(OR(G262="",G262=0,H262=""),"",H262/G262)</f>
        <v/>
      </c>
    </row>
    <row r="263" customFormat="false" ht="15" hidden="false" customHeight="false" outlineLevel="0" collapsed="false">
      <c r="A263" s="12"/>
      <c r="B263" s="6"/>
      <c r="C263" s="13" t="str">
        <f aca="false">IF(B263="","",IFERROR(INDEX(สินค้า!$B$2:$B$101,MATCH(B263,สินค้า!$A$2:$A$101,0)),"ไม่พบรหัส"))</f>
        <v/>
      </c>
      <c r="D263" s="14" t="str">
        <f aca="false">IF(B263="","",IFERROR(INDEX(สินค้า!$D$2:$D$101,MATCH(B263,สินค้า!$A$2:$A$101,0)),""))</f>
        <v/>
      </c>
      <c r="E263" s="6"/>
      <c r="F263" s="8"/>
      <c r="G263" s="8"/>
      <c r="H263" s="8"/>
      <c r="I263" s="15"/>
      <c r="J263" s="15"/>
      <c r="K263" s="10" t="str">
        <f aca="false">IF(J263&lt;&gt;"",J263,IF(I263="","",I263*IFERROR(INDEX(สินค้า!$G$2:$G$101,MATCH(B263,สินค้า!$A$2:$A$101,0)),0)))</f>
        <v/>
      </c>
      <c r="L263" s="16" t="str">
        <f aca="false">IF(OR(F263="",F263=0,G263=""),"",G263/F263)</f>
        <v/>
      </c>
      <c r="M263" s="16" t="str">
        <f aca="false">IF(OR(G263="",G263=0,H263=""),"",H263/G263)</f>
        <v/>
      </c>
    </row>
    <row r="264" customFormat="false" ht="15" hidden="false" customHeight="false" outlineLevel="0" collapsed="false">
      <c r="A264" s="12"/>
      <c r="B264" s="6"/>
      <c r="C264" s="13" t="str">
        <f aca="false">IF(B264="","",IFERROR(INDEX(สินค้า!$B$2:$B$101,MATCH(B264,สินค้า!$A$2:$A$101,0)),"ไม่พบรหัส"))</f>
        <v/>
      </c>
      <c r="D264" s="14" t="str">
        <f aca="false">IF(B264="","",IFERROR(INDEX(สินค้า!$D$2:$D$101,MATCH(B264,สินค้า!$A$2:$A$101,0)),""))</f>
        <v/>
      </c>
      <c r="E264" s="6"/>
      <c r="F264" s="8"/>
      <c r="G264" s="8"/>
      <c r="H264" s="8"/>
      <c r="I264" s="15"/>
      <c r="J264" s="15"/>
      <c r="K264" s="10" t="str">
        <f aca="false">IF(J264&lt;&gt;"",J264,IF(I264="","",I264*IFERROR(INDEX(สินค้า!$G$2:$G$101,MATCH(B264,สินค้า!$A$2:$A$101,0)),0)))</f>
        <v/>
      </c>
      <c r="L264" s="16" t="str">
        <f aca="false">IF(OR(F264="",F264=0,G264=""),"",G264/F264)</f>
        <v/>
      </c>
      <c r="M264" s="16" t="str">
        <f aca="false">IF(OR(G264="",G264=0,H264=""),"",H264/G264)</f>
        <v/>
      </c>
    </row>
    <row r="265" customFormat="false" ht="15" hidden="false" customHeight="false" outlineLevel="0" collapsed="false">
      <c r="A265" s="12"/>
      <c r="B265" s="6"/>
      <c r="C265" s="13" t="str">
        <f aca="false">IF(B265="","",IFERROR(INDEX(สินค้า!$B$2:$B$101,MATCH(B265,สินค้า!$A$2:$A$101,0)),"ไม่พบรหัส"))</f>
        <v/>
      </c>
      <c r="D265" s="14" t="str">
        <f aca="false">IF(B265="","",IFERROR(INDEX(สินค้า!$D$2:$D$101,MATCH(B265,สินค้า!$A$2:$A$101,0)),""))</f>
        <v/>
      </c>
      <c r="E265" s="6"/>
      <c r="F265" s="8"/>
      <c r="G265" s="8"/>
      <c r="H265" s="8"/>
      <c r="I265" s="15"/>
      <c r="J265" s="15"/>
      <c r="K265" s="10" t="str">
        <f aca="false">IF(J265&lt;&gt;"",J265,IF(I265="","",I265*IFERROR(INDEX(สินค้า!$G$2:$G$101,MATCH(B265,สินค้า!$A$2:$A$101,0)),0)))</f>
        <v/>
      </c>
      <c r="L265" s="16" t="str">
        <f aca="false">IF(OR(F265="",F265=0,G265=""),"",G265/F265)</f>
        <v/>
      </c>
      <c r="M265" s="16" t="str">
        <f aca="false">IF(OR(G265="",G265=0,H265=""),"",H265/G265)</f>
        <v/>
      </c>
    </row>
    <row r="266" customFormat="false" ht="15" hidden="false" customHeight="false" outlineLevel="0" collapsed="false">
      <c r="A266" s="12"/>
      <c r="B266" s="6"/>
      <c r="C266" s="13" t="str">
        <f aca="false">IF(B266="","",IFERROR(INDEX(สินค้า!$B$2:$B$101,MATCH(B266,สินค้า!$A$2:$A$101,0)),"ไม่พบรหัส"))</f>
        <v/>
      </c>
      <c r="D266" s="14" t="str">
        <f aca="false">IF(B266="","",IFERROR(INDEX(สินค้า!$D$2:$D$101,MATCH(B266,สินค้า!$A$2:$A$101,0)),""))</f>
        <v/>
      </c>
      <c r="E266" s="6"/>
      <c r="F266" s="8"/>
      <c r="G266" s="8"/>
      <c r="H266" s="8"/>
      <c r="I266" s="15"/>
      <c r="J266" s="15"/>
      <c r="K266" s="10" t="str">
        <f aca="false">IF(J266&lt;&gt;"",J266,IF(I266="","",I266*IFERROR(INDEX(สินค้า!$G$2:$G$101,MATCH(B266,สินค้า!$A$2:$A$101,0)),0)))</f>
        <v/>
      </c>
      <c r="L266" s="16" t="str">
        <f aca="false">IF(OR(F266="",F266=0,G266=""),"",G266/F266)</f>
        <v/>
      </c>
      <c r="M266" s="16" t="str">
        <f aca="false">IF(OR(G266="",G266=0,H266=""),"",H266/G266)</f>
        <v/>
      </c>
    </row>
    <row r="267" customFormat="false" ht="15" hidden="false" customHeight="false" outlineLevel="0" collapsed="false">
      <c r="A267" s="12"/>
      <c r="B267" s="6"/>
      <c r="C267" s="13" t="str">
        <f aca="false">IF(B267="","",IFERROR(INDEX(สินค้า!$B$2:$B$101,MATCH(B267,สินค้า!$A$2:$A$101,0)),"ไม่พบรหัส"))</f>
        <v/>
      </c>
      <c r="D267" s="14" t="str">
        <f aca="false">IF(B267="","",IFERROR(INDEX(สินค้า!$D$2:$D$101,MATCH(B267,สินค้า!$A$2:$A$101,0)),""))</f>
        <v/>
      </c>
      <c r="E267" s="6"/>
      <c r="F267" s="8"/>
      <c r="G267" s="8"/>
      <c r="H267" s="8"/>
      <c r="I267" s="15"/>
      <c r="J267" s="15"/>
      <c r="K267" s="10" t="str">
        <f aca="false">IF(J267&lt;&gt;"",J267,IF(I267="","",I267*IFERROR(INDEX(สินค้า!$G$2:$G$101,MATCH(B267,สินค้า!$A$2:$A$101,0)),0)))</f>
        <v/>
      </c>
      <c r="L267" s="16" t="str">
        <f aca="false">IF(OR(F267="",F267=0,G267=""),"",G267/F267)</f>
        <v/>
      </c>
      <c r="M267" s="16" t="str">
        <f aca="false">IF(OR(G267="",G267=0,H267=""),"",H267/G267)</f>
        <v/>
      </c>
    </row>
    <row r="268" customFormat="false" ht="15" hidden="false" customHeight="false" outlineLevel="0" collapsed="false">
      <c r="A268" s="12"/>
      <c r="B268" s="6"/>
      <c r="C268" s="13" t="str">
        <f aca="false">IF(B268="","",IFERROR(INDEX(สินค้า!$B$2:$B$101,MATCH(B268,สินค้า!$A$2:$A$101,0)),"ไม่พบรหัส"))</f>
        <v/>
      </c>
      <c r="D268" s="14" t="str">
        <f aca="false">IF(B268="","",IFERROR(INDEX(สินค้า!$D$2:$D$101,MATCH(B268,สินค้า!$A$2:$A$101,0)),""))</f>
        <v/>
      </c>
      <c r="E268" s="6"/>
      <c r="F268" s="8"/>
      <c r="G268" s="8"/>
      <c r="H268" s="8"/>
      <c r="I268" s="15"/>
      <c r="J268" s="15"/>
      <c r="K268" s="10" t="str">
        <f aca="false">IF(J268&lt;&gt;"",J268,IF(I268="","",I268*IFERROR(INDEX(สินค้า!$G$2:$G$101,MATCH(B268,สินค้า!$A$2:$A$101,0)),0)))</f>
        <v/>
      </c>
      <c r="L268" s="16" t="str">
        <f aca="false">IF(OR(F268="",F268=0,G268=""),"",G268/F268)</f>
        <v/>
      </c>
      <c r="M268" s="16" t="str">
        <f aca="false">IF(OR(G268="",G268=0,H268=""),"",H268/G268)</f>
        <v/>
      </c>
    </row>
    <row r="269" customFormat="false" ht="15" hidden="false" customHeight="false" outlineLevel="0" collapsed="false">
      <c r="A269" s="12"/>
      <c r="B269" s="6"/>
      <c r="C269" s="13" t="str">
        <f aca="false">IF(B269="","",IFERROR(INDEX(สินค้า!$B$2:$B$101,MATCH(B269,สินค้า!$A$2:$A$101,0)),"ไม่พบรหัส"))</f>
        <v/>
      </c>
      <c r="D269" s="14" t="str">
        <f aca="false">IF(B269="","",IFERROR(INDEX(สินค้า!$D$2:$D$101,MATCH(B269,สินค้า!$A$2:$A$101,0)),""))</f>
        <v/>
      </c>
      <c r="E269" s="6"/>
      <c r="F269" s="8"/>
      <c r="G269" s="8"/>
      <c r="H269" s="8"/>
      <c r="I269" s="15"/>
      <c r="J269" s="15"/>
      <c r="K269" s="10" t="str">
        <f aca="false">IF(J269&lt;&gt;"",J269,IF(I269="","",I269*IFERROR(INDEX(สินค้า!$G$2:$G$101,MATCH(B269,สินค้า!$A$2:$A$101,0)),0)))</f>
        <v/>
      </c>
      <c r="L269" s="16" t="str">
        <f aca="false">IF(OR(F269="",F269=0,G269=""),"",G269/F269)</f>
        <v/>
      </c>
      <c r="M269" s="16" t="str">
        <f aca="false">IF(OR(G269="",G269=0,H269=""),"",H269/G269)</f>
        <v/>
      </c>
    </row>
    <row r="270" customFormat="false" ht="15" hidden="false" customHeight="false" outlineLevel="0" collapsed="false">
      <c r="A270" s="12"/>
      <c r="B270" s="6"/>
      <c r="C270" s="13" t="str">
        <f aca="false">IF(B270="","",IFERROR(INDEX(สินค้า!$B$2:$B$101,MATCH(B270,สินค้า!$A$2:$A$101,0)),"ไม่พบรหัส"))</f>
        <v/>
      </c>
      <c r="D270" s="14" t="str">
        <f aca="false">IF(B270="","",IFERROR(INDEX(สินค้า!$D$2:$D$101,MATCH(B270,สินค้า!$A$2:$A$101,0)),""))</f>
        <v/>
      </c>
      <c r="E270" s="6"/>
      <c r="F270" s="8"/>
      <c r="G270" s="8"/>
      <c r="H270" s="8"/>
      <c r="I270" s="15"/>
      <c r="J270" s="15"/>
      <c r="K270" s="10" t="str">
        <f aca="false">IF(J270&lt;&gt;"",J270,IF(I270="","",I270*IFERROR(INDEX(สินค้า!$G$2:$G$101,MATCH(B270,สินค้า!$A$2:$A$101,0)),0)))</f>
        <v/>
      </c>
      <c r="L270" s="16" t="str">
        <f aca="false">IF(OR(F270="",F270=0,G270=""),"",G270/F270)</f>
        <v/>
      </c>
      <c r="M270" s="16" t="str">
        <f aca="false">IF(OR(G270="",G270=0,H270=""),"",H270/G270)</f>
        <v/>
      </c>
    </row>
    <row r="271" customFormat="false" ht="15" hidden="false" customHeight="false" outlineLevel="0" collapsed="false">
      <c r="A271" s="12"/>
      <c r="B271" s="6"/>
      <c r="C271" s="13" t="str">
        <f aca="false">IF(B271="","",IFERROR(INDEX(สินค้า!$B$2:$B$101,MATCH(B271,สินค้า!$A$2:$A$101,0)),"ไม่พบรหัส"))</f>
        <v/>
      </c>
      <c r="D271" s="14" t="str">
        <f aca="false">IF(B271="","",IFERROR(INDEX(สินค้า!$D$2:$D$101,MATCH(B271,สินค้า!$A$2:$A$101,0)),""))</f>
        <v/>
      </c>
      <c r="E271" s="6"/>
      <c r="F271" s="8"/>
      <c r="G271" s="8"/>
      <c r="H271" s="8"/>
      <c r="I271" s="15"/>
      <c r="J271" s="15"/>
      <c r="K271" s="10" t="str">
        <f aca="false">IF(J271&lt;&gt;"",J271,IF(I271="","",I271*IFERROR(INDEX(สินค้า!$G$2:$G$101,MATCH(B271,สินค้า!$A$2:$A$101,0)),0)))</f>
        <v/>
      </c>
      <c r="L271" s="16" t="str">
        <f aca="false">IF(OR(F271="",F271=0,G271=""),"",G271/F271)</f>
        <v/>
      </c>
      <c r="M271" s="16" t="str">
        <f aca="false">IF(OR(G271="",G271=0,H271=""),"",H271/G271)</f>
        <v/>
      </c>
    </row>
    <row r="272" customFormat="false" ht="15" hidden="false" customHeight="false" outlineLevel="0" collapsed="false">
      <c r="A272" s="12"/>
      <c r="B272" s="6"/>
      <c r="C272" s="13" t="str">
        <f aca="false">IF(B272="","",IFERROR(INDEX(สินค้า!$B$2:$B$101,MATCH(B272,สินค้า!$A$2:$A$101,0)),"ไม่พบรหัส"))</f>
        <v/>
      </c>
      <c r="D272" s="14" t="str">
        <f aca="false">IF(B272="","",IFERROR(INDEX(สินค้า!$D$2:$D$101,MATCH(B272,สินค้า!$A$2:$A$101,0)),""))</f>
        <v/>
      </c>
      <c r="E272" s="6"/>
      <c r="F272" s="8"/>
      <c r="G272" s="8"/>
      <c r="H272" s="8"/>
      <c r="I272" s="15"/>
      <c r="J272" s="15"/>
      <c r="K272" s="10" t="str">
        <f aca="false">IF(J272&lt;&gt;"",J272,IF(I272="","",I272*IFERROR(INDEX(สินค้า!$G$2:$G$101,MATCH(B272,สินค้า!$A$2:$A$101,0)),0)))</f>
        <v/>
      </c>
      <c r="L272" s="16" t="str">
        <f aca="false">IF(OR(F272="",F272=0,G272=""),"",G272/F272)</f>
        <v/>
      </c>
      <c r="M272" s="16" t="str">
        <f aca="false">IF(OR(G272="",G272=0,H272=""),"",H272/G272)</f>
        <v/>
      </c>
    </row>
    <row r="273" customFormat="false" ht="15" hidden="false" customHeight="false" outlineLevel="0" collapsed="false">
      <c r="A273" s="12"/>
      <c r="B273" s="6"/>
      <c r="C273" s="13" t="str">
        <f aca="false">IF(B273="","",IFERROR(INDEX(สินค้า!$B$2:$B$101,MATCH(B273,สินค้า!$A$2:$A$101,0)),"ไม่พบรหัส"))</f>
        <v/>
      </c>
      <c r="D273" s="14" t="str">
        <f aca="false">IF(B273="","",IFERROR(INDEX(สินค้า!$D$2:$D$101,MATCH(B273,สินค้า!$A$2:$A$101,0)),""))</f>
        <v/>
      </c>
      <c r="E273" s="6"/>
      <c r="F273" s="8"/>
      <c r="G273" s="8"/>
      <c r="H273" s="8"/>
      <c r="I273" s="15"/>
      <c r="J273" s="15"/>
      <c r="K273" s="10" t="str">
        <f aca="false">IF(J273&lt;&gt;"",J273,IF(I273="","",I273*IFERROR(INDEX(สินค้า!$G$2:$G$101,MATCH(B273,สินค้า!$A$2:$A$101,0)),0)))</f>
        <v/>
      </c>
      <c r="L273" s="16" t="str">
        <f aca="false">IF(OR(F273="",F273=0,G273=""),"",G273/F273)</f>
        <v/>
      </c>
      <c r="M273" s="16" t="str">
        <f aca="false">IF(OR(G273="",G273=0,H273=""),"",H273/G273)</f>
        <v/>
      </c>
    </row>
    <row r="274" customFormat="false" ht="15" hidden="false" customHeight="false" outlineLevel="0" collapsed="false">
      <c r="A274" s="12"/>
      <c r="B274" s="6"/>
      <c r="C274" s="13" t="str">
        <f aca="false">IF(B274="","",IFERROR(INDEX(สินค้า!$B$2:$B$101,MATCH(B274,สินค้า!$A$2:$A$101,0)),"ไม่พบรหัส"))</f>
        <v/>
      </c>
      <c r="D274" s="14" t="str">
        <f aca="false">IF(B274="","",IFERROR(INDEX(สินค้า!$D$2:$D$101,MATCH(B274,สินค้า!$A$2:$A$101,0)),""))</f>
        <v/>
      </c>
      <c r="E274" s="6"/>
      <c r="F274" s="8"/>
      <c r="G274" s="8"/>
      <c r="H274" s="8"/>
      <c r="I274" s="15"/>
      <c r="J274" s="15"/>
      <c r="K274" s="10" t="str">
        <f aca="false">IF(J274&lt;&gt;"",J274,IF(I274="","",I274*IFERROR(INDEX(สินค้า!$G$2:$G$101,MATCH(B274,สินค้า!$A$2:$A$101,0)),0)))</f>
        <v/>
      </c>
      <c r="L274" s="16" t="str">
        <f aca="false">IF(OR(F274="",F274=0,G274=""),"",G274/F274)</f>
        <v/>
      </c>
      <c r="M274" s="16" t="str">
        <f aca="false">IF(OR(G274="",G274=0,H274=""),"",H274/G274)</f>
        <v/>
      </c>
    </row>
    <row r="275" customFormat="false" ht="15" hidden="false" customHeight="false" outlineLevel="0" collapsed="false">
      <c r="A275" s="12"/>
      <c r="B275" s="6"/>
      <c r="C275" s="13" t="str">
        <f aca="false">IF(B275="","",IFERROR(INDEX(สินค้า!$B$2:$B$101,MATCH(B275,สินค้า!$A$2:$A$101,0)),"ไม่พบรหัส"))</f>
        <v/>
      </c>
      <c r="D275" s="14" t="str">
        <f aca="false">IF(B275="","",IFERROR(INDEX(สินค้า!$D$2:$D$101,MATCH(B275,สินค้า!$A$2:$A$101,0)),""))</f>
        <v/>
      </c>
      <c r="E275" s="6"/>
      <c r="F275" s="8"/>
      <c r="G275" s="8"/>
      <c r="H275" s="8"/>
      <c r="I275" s="15"/>
      <c r="J275" s="15"/>
      <c r="K275" s="10" t="str">
        <f aca="false">IF(J275&lt;&gt;"",J275,IF(I275="","",I275*IFERROR(INDEX(สินค้า!$G$2:$G$101,MATCH(B275,สินค้า!$A$2:$A$101,0)),0)))</f>
        <v/>
      </c>
      <c r="L275" s="16" t="str">
        <f aca="false">IF(OR(F275="",F275=0,G275=""),"",G275/F275)</f>
        <v/>
      </c>
      <c r="M275" s="16" t="str">
        <f aca="false">IF(OR(G275="",G275=0,H275=""),"",H275/G275)</f>
        <v/>
      </c>
    </row>
    <row r="276" customFormat="false" ht="15" hidden="false" customHeight="false" outlineLevel="0" collapsed="false">
      <c r="A276" s="12"/>
      <c r="B276" s="6"/>
      <c r="C276" s="13" t="str">
        <f aca="false">IF(B276="","",IFERROR(INDEX(สินค้า!$B$2:$B$101,MATCH(B276,สินค้า!$A$2:$A$101,0)),"ไม่พบรหัส"))</f>
        <v/>
      </c>
      <c r="D276" s="14" t="str">
        <f aca="false">IF(B276="","",IFERROR(INDEX(สินค้า!$D$2:$D$101,MATCH(B276,สินค้า!$A$2:$A$101,0)),""))</f>
        <v/>
      </c>
      <c r="E276" s="6"/>
      <c r="F276" s="8"/>
      <c r="G276" s="8"/>
      <c r="H276" s="8"/>
      <c r="I276" s="15"/>
      <c r="J276" s="15"/>
      <c r="K276" s="10" t="str">
        <f aca="false">IF(J276&lt;&gt;"",J276,IF(I276="","",I276*IFERROR(INDEX(สินค้า!$G$2:$G$101,MATCH(B276,สินค้า!$A$2:$A$101,0)),0)))</f>
        <v/>
      </c>
      <c r="L276" s="16" t="str">
        <f aca="false">IF(OR(F276="",F276=0,G276=""),"",G276/F276)</f>
        <v/>
      </c>
      <c r="M276" s="16" t="str">
        <f aca="false">IF(OR(G276="",G276=0,H276=""),"",H276/G276)</f>
        <v/>
      </c>
    </row>
    <row r="277" customFormat="false" ht="15" hidden="false" customHeight="false" outlineLevel="0" collapsed="false">
      <c r="A277" s="12"/>
      <c r="B277" s="6"/>
      <c r="C277" s="13" t="str">
        <f aca="false">IF(B277="","",IFERROR(INDEX(สินค้า!$B$2:$B$101,MATCH(B277,สินค้า!$A$2:$A$101,0)),"ไม่พบรหัส"))</f>
        <v/>
      </c>
      <c r="D277" s="14" t="str">
        <f aca="false">IF(B277="","",IFERROR(INDEX(สินค้า!$D$2:$D$101,MATCH(B277,สินค้า!$A$2:$A$101,0)),""))</f>
        <v/>
      </c>
      <c r="E277" s="6"/>
      <c r="F277" s="8"/>
      <c r="G277" s="8"/>
      <c r="H277" s="8"/>
      <c r="I277" s="15"/>
      <c r="J277" s="15"/>
      <c r="K277" s="10" t="str">
        <f aca="false">IF(J277&lt;&gt;"",J277,IF(I277="","",I277*IFERROR(INDEX(สินค้า!$G$2:$G$101,MATCH(B277,สินค้า!$A$2:$A$101,0)),0)))</f>
        <v/>
      </c>
      <c r="L277" s="16" t="str">
        <f aca="false">IF(OR(F277="",F277=0,G277=""),"",G277/F277)</f>
        <v/>
      </c>
      <c r="M277" s="16" t="str">
        <f aca="false">IF(OR(G277="",G277=0,H277=""),"",H277/G277)</f>
        <v/>
      </c>
    </row>
    <row r="278" customFormat="false" ht="15" hidden="false" customHeight="false" outlineLevel="0" collapsed="false">
      <c r="A278" s="12"/>
      <c r="B278" s="6"/>
      <c r="C278" s="13" t="str">
        <f aca="false">IF(B278="","",IFERROR(INDEX(สินค้า!$B$2:$B$101,MATCH(B278,สินค้า!$A$2:$A$101,0)),"ไม่พบรหัส"))</f>
        <v/>
      </c>
      <c r="D278" s="14" t="str">
        <f aca="false">IF(B278="","",IFERROR(INDEX(สินค้า!$D$2:$D$101,MATCH(B278,สินค้า!$A$2:$A$101,0)),""))</f>
        <v/>
      </c>
      <c r="E278" s="6"/>
      <c r="F278" s="8"/>
      <c r="G278" s="8"/>
      <c r="H278" s="8"/>
      <c r="I278" s="15"/>
      <c r="J278" s="15"/>
      <c r="K278" s="10" t="str">
        <f aca="false">IF(J278&lt;&gt;"",J278,IF(I278="","",I278*IFERROR(INDEX(สินค้า!$G$2:$G$101,MATCH(B278,สินค้า!$A$2:$A$101,0)),0)))</f>
        <v/>
      </c>
      <c r="L278" s="16" t="str">
        <f aca="false">IF(OR(F278="",F278=0,G278=""),"",G278/F278)</f>
        <v/>
      </c>
      <c r="M278" s="16" t="str">
        <f aca="false">IF(OR(G278="",G278=0,H278=""),"",H278/G278)</f>
        <v/>
      </c>
    </row>
    <row r="279" customFormat="false" ht="15" hidden="false" customHeight="false" outlineLevel="0" collapsed="false">
      <c r="A279" s="12"/>
      <c r="B279" s="6"/>
      <c r="C279" s="13" t="str">
        <f aca="false">IF(B279="","",IFERROR(INDEX(สินค้า!$B$2:$B$101,MATCH(B279,สินค้า!$A$2:$A$101,0)),"ไม่พบรหัส"))</f>
        <v/>
      </c>
      <c r="D279" s="14" t="str">
        <f aca="false">IF(B279="","",IFERROR(INDEX(สินค้า!$D$2:$D$101,MATCH(B279,สินค้า!$A$2:$A$101,0)),""))</f>
        <v/>
      </c>
      <c r="E279" s="6"/>
      <c r="F279" s="8"/>
      <c r="G279" s="8"/>
      <c r="H279" s="8"/>
      <c r="I279" s="15"/>
      <c r="J279" s="15"/>
      <c r="K279" s="10" t="str">
        <f aca="false">IF(J279&lt;&gt;"",J279,IF(I279="","",I279*IFERROR(INDEX(สินค้า!$G$2:$G$101,MATCH(B279,สินค้า!$A$2:$A$101,0)),0)))</f>
        <v/>
      </c>
      <c r="L279" s="16" t="str">
        <f aca="false">IF(OR(F279="",F279=0,G279=""),"",G279/F279)</f>
        <v/>
      </c>
      <c r="M279" s="16" t="str">
        <f aca="false">IF(OR(G279="",G279=0,H279=""),"",H279/G279)</f>
        <v/>
      </c>
    </row>
    <row r="280" customFormat="false" ht="15" hidden="false" customHeight="false" outlineLevel="0" collapsed="false">
      <c r="A280" s="12"/>
      <c r="B280" s="6"/>
      <c r="C280" s="13" t="str">
        <f aca="false">IF(B280="","",IFERROR(INDEX(สินค้า!$B$2:$B$101,MATCH(B280,สินค้า!$A$2:$A$101,0)),"ไม่พบรหัส"))</f>
        <v/>
      </c>
      <c r="D280" s="14" t="str">
        <f aca="false">IF(B280="","",IFERROR(INDEX(สินค้า!$D$2:$D$101,MATCH(B280,สินค้า!$A$2:$A$101,0)),""))</f>
        <v/>
      </c>
      <c r="E280" s="6"/>
      <c r="F280" s="8"/>
      <c r="G280" s="8"/>
      <c r="H280" s="8"/>
      <c r="I280" s="15"/>
      <c r="J280" s="15"/>
      <c r="K280" s="10" t="str">
        <f aca="false">IF(J280&lt;&gt;"",J280,IF(I280="","",I280*IFERROR(INDEX(สินค้า!$G$2:$G$101,MATCH(B280,สินค้า!$A$2:$A$101,0)),0)))</f>
        <v/>
      </c>
      <c r="L280" s="16" t="str">
        <f aca="false">IF(OR(F280="",F280=0,G280=""),"",G280/F280)</f>
        <v/>
      </c>
      <c r="M280" s="16" t="str">
        <f aca="false">IF(OR(G280="",G280=0,H280=""),"",H280/G280)</f>
        <v/>
      </c>
    </row>
    <row r="281" customFormat="false" ht="15" hidden="false" customHeight="false" outlineLevel="0" collapsed="false">
      <c r="A281" s="12"/>
      <c r="B281" s="6"/>
      <c r="C281" s="13" t="str">
        <f aca="false">IF(B281="","",IFERROR(INDEX(สินค้า!$B$2:$B$101,MATCH(B281,สินค้า!$A$2:$A$101,0)),"ไม่พบรหัส"))</f>
        <v/>
      </c>
      <c r="D281" s="14" t="str">
        <f aca="false">IF(B281="","",IFERROR(INDEX(สินค้า!$D$2:$D$101,MATCH(B281,สินค้า!$A$2:$A$101,0)),""))</f>
        <v/>
      </c>
      <c r="E281" s="6"/>
      <c r="F281" s="8"/>
      <c r="G281" s="8"/>
      <c r="H281" s="8"/>
      <c r="I281" s="15"/>
      <c r="J281" s="15"/>
      <c r="K281" s="10" t="str">
        <f aca="false">IF(J281&lt;&gt;"",J281,IF(I281="","",I281*IFERROR(INDEX(สินค้า!$G$2:$G$101,MATCH(B281,สินค้า!$A$2:$A$101,0)),0)))</f>
        <v/>
      </c>
      <c r="L281" s="16" t="str">
        <f aca="false">IF(OR(F281="",F281=0,G281=""),"",G281/F281)</f>
        <v/>
      </c>
      <c r="M281" s="16" t="str">
        <f aca="false">IF(OR(G281="",G281=0,H281=""),"",H281/G281)</f>
        <v/>
      </c>
    </row>
    <row r="282" customFormat="false" ht="15" hidden="false" customHeight="false" outlineLevel="0" collapsed="false">
      <c r="A282" s="12"/>
      <c r="B282" s="6"/>
      <c r="C282" s="13" t="str">
        <f aca="false">IF(B282="","",IFERROR(INDEX(สินค้า!$B$2:$B$101,MATCH(B282,สินค้า!$A$2:$A$101,0)),"ไม่พบรหัส"))</f>
        <v/>
      </c>
      <c r="D282" s="14" t="str">
        <f aca="false">IF(B282="","",IFERROR(INDEX(สินค้า!$D$2:$D$101,MATCH(B282,สินค้า!$A$2:$A$101,0)),""))</f>
        <v/>
      </c>
      <c r="E282" s="6"/>
      <c r="F282" s="8"/>
      <c r="G282" s="8"/>
      <c r="H282" s="8"/>
      <c r="I282" s="15"/>
      <c r="J282" s="15"/>
      <c r="K282" s="10" t="str">
        <f aca="false">IF(J282&lt;&gt;"",J282,IF(I282="","",I282*IFERROR(INDEX(สินค้า!$G$2:$G$101,MATCH(B282,สินค้า!$A$2:$A$101,0)),0)))</f>
        <v/>
      </c>
      <c r="L282" s="16" t="str">
        <f aca="false">IF(OR(F282="",F282=0,G282=""),"",G282/F282)</f>
        <v/>
      </c>
      <c r="M282" s="16" t="str">
        <f aca="false">IF(OR(G282="",G282=0,H282=""),"",H282/G282)</f>
        <v/>
      </c>
    </row>
    <row r="283" customFormat="false" ht="15" hidden="false" customHeight="false" outlineLevel="0" collapsed="false">
      <c r="A283" s="12"/>
      <c r="B283" s="6"/>
      <c r="C283" s="13" t="str">
        <f aca="false">IF(B283="","",IFERROR(INDEX(สินค้า!$B$2:$B$101,MATCH(B283,สินค้า!$A$2:$A$101,0)),"ไม่พบรหัส"))</f>
        <v/>
      </c>
      <c r="D283" s="14" t="str">
        <f aca="false">IF(B283="","",IFERROR(INDEX(สินค้า!$D$2:$D$101,MATCH(B283,สินค้า!$A$2:$A$101,0)),""))</f>
        <v/>
      </c>
      <c r="E283" s="6"/>
      <c r="F283" s="8"/>
      <c r="G283" s="8"/>
      <c r="H283" s="8"/>
      <c r="I283" s="15"/>
      <c r="J283" s="15"/>
      <c r="K283" s="10" t="str">
        <f aca="false">IF(J283&lt;&gt;"",J283,IF(I283="","",I283*IFERROR(INDEX(สินค้า!$G$2:$G$101,MATCH(B283,สินค้า!$A$2:$A$101,0)),0)))</f>
        <v/>
      </c>
      <c r="L283" s="16" t="str">
        <f aca="false">IF(OR(F283="",F283=0,G283=""),"",G283/F283)</f>
        <v/>
      </c>
      <c r="M283" s="16" t="str">
        <f aca="false">IF(OR(G283="",G283=0,H283=""),"",H283/G283)</f>
        <v/>
      </c>
    </row>
    <row r="284" customFormat="false" ht="15" hidden="false" customHeight="false" outlineLevel="0" collapsed="false">
      <c r="A284" s="12"/>
      <c r="B284" s="6"/>
      <c r="C284" s="13" t="str">
        <f aca="false">IF(B284="","",IFERROR(INDEX(สินค้า!$B$2:$B$101,MATCH(B284,สินค้า!$A$2:$A$101,0)),"ไม่พบรหัส"))</f>
        <v/>
      </c>
      <c r="D284" s="14" t="str">
        <f aca="false">IF(B284="","",IFERROR(INDEX(สินค้า!$D$2:$D$101,MATCH(B284,สินค้า!$A$2:$A$101,0)),""))</f>
        <v/>
      </c>
      <c r="E284" s="6"/>
      <c r="F284" s="8"/>
      <c r="G284" s="8"/>
      <c r="H284" s="8"/>
      <c r="I284" s="15"/>
      <c r="J284" s="15"/>
      <c r="K284" s="10" t="str">
        <f aca="false">IF(J284&lt;&gt;"",J284,IF(I284="","",I284*IFERROR(INDEX(สินค้า!$G$2:$G$101,MATCH(B284,สินค้า!$A$2:$A$101,0)),0)))</f>
        <v/>
      </c>
      <c r="L284" s="16" t="str">
        <f aca="false">IF(OR(F284="",F284=0,G284=""),"",G284/F284)</f>
        <v/>
      </c>
      <c r="M284" s="16" t="str">
        <f aca="false">IF(OR(G284="",G284=0,H284=""),"",H284/G284)</f>
        <v/>
      </c>
    </row>
    <row r="285" customFormat="false" ht="15" hidden="false" customHeight="false" outlineLevel="0" collapsed="false">
      <c r="A285" s="12"/>
      <c r="B285" s="6"/>
      <c r="C285" s="13" t="str">
        <f aca="false">IF(B285="","",IFERROR(INDEX(สินค้า!$B$2:$B$101,MATCH(B285,สินค้า!$A$2:$A$101,0)),"ไม่พบรหัส"))</f>
        <v/>
      </c>
      <c r="D285" s="14" t="str">
        <f aca="false">IF(B285="","",IFERROR(INDEX(สินค้า!$D$2:$D$101,MATCH(B285,สินค้า!$A$2:$A$101,0)),""))</f>
        <v/>
      </c>
      <c r="E285" s="6"/>
      <c r="F285" s="8"/>
      <c r="G285" s="8"/>
      <c r="H285" s="8"/>
      <c r="I285" s="15"/>
      <c r="J285" s="15"/>
      <c r="K285" s="10" t="str">
        <f aca="false">IF(J285&lt;&gt;"",J285,IF(I285="","",I285*IFERROR(INDEX(สินค้า!$G$2:$G$101,MATCH(B285,สินค้า!$A$2:$A$101,0)),0)))</f>
        <v/>
      </c>
      <c r="L285" s="16" t="str">
        <f aca="false">IF(OR(F285="",F285=0,G285=""),"",G285/F285)</f>
        <v/>
      </c>
      <c r="M285" s="16" t="str">
        <f aca="false">IF(OR(G285="",G285=0,H285=""),"",H285/G285)</f>
        <v/>
      </c>
    </row>
    <row r="286" customFormat="false" ht="15" hidden="false" customHeight="false" outlineLevel="0" collapsed="false">
      <c r="A286" s="12"/>
      <c r="B286" s="6"/>
      <c r="C286" s="13" t="str">
        <f aca="false">IF(B286="","",IFERROR(INDEX(สินค้า!$B$2:$B$101,MATCH(B286,สินค้า!$A$2:$A$101,0)),"ไม่พบรหัส"))</f>
        <v/>
      </c>
      <c r="D286" s="14" t="str">
        <f aca="false">IF(B286="","",IFERROR(INDEX(สินค้า!$D$2:$D$101,MATCH(B286,สินค้า!$A$2:$A$101,0)),""))</f>
        <v/>
      </c>
      <c r="E286" s="6"/>
      <c r="F286" s="8"/>
      <c r="G286" s="8"/>
      <c r="H286" s="8"/>
      <c r="I286" s="15"/>
      <c r="J286" s="15"/>
      <c r="K286" s="10" t="str">
        <f aca="false">IF(J286&lt;&gt;"",J286,IF(I286="","",I286*IFERROR(INDEX(สินค้า!$G$2:$G$101,MATCH(B286,สินค้า!$A$2:$A$101,0)),0)))</f>
        <v/>
      </c>
      <c r="L286" s="16" t="str">
        <f aca="false">IF(OR(F286="",F286=0,G286=""),"",G286/F286)</f>
        <v/>
      </c>
      <c r="M286" s="16" t="str">
        <f aca="false">IF(OR(G286="",G286=0,H286=""),"",H286/G286)</f>
        <v/>
      </c>
    </row>
    <row r="287" customFormat="false" ht="15" hidden="false" customHeight="false" outlineLevel="0" collapsed="false">
      <c r="A287" s="12"/>
      <c r="B287" s="6"/>
      <c r="C287" s="13" t="str">
        <f aca="false">IF(B287="","",IFERROR(INDEX(สินค้า!$B$2:$B$101,MATCH(B287,สินค้า!$A$2:$A$101,0)),"ไม่พบรหัส"))</f>
        <v/>
      </c>
      <c r="D287" s="14" t="str">
        <f aca="false">IF(B287="","",IFERROR(INDEX(สินค้า!$D$2:$D$101,MATCH(B287,สินค้า!$A$2:$A$101,0)),""))</f>
        <v/>
      </c>
      <c r="E287" s="6"/>
      <c r="F287" s="8"/>
      <c r="G287" s="8"/>
      <c r="H287" s="8"/>
      <c r="I287" s="15"/>
      <c r="J287" s="15"/>
      <c r="K287" s="10" t="str">
        <f aca="false">IF(J287&lt;&gt;"",J287,IF(I287="","",I287*IFERROR(INDEX(สินค้า!$G$2:$G$101,MATCH(B287,สินค้า!$A$2:$A$101,0)),0)))</f>
        <v/>
      </c>
      <c r="L287" s="16" t="str">
        <f aca="false">IF(OR(F287="",F287=0,G287=""),"",G287/F287)</f>
        <v/>
      </c>
      <c r="M287" s="16" t="str">
        <f aca="false">IF(OR(G287="",G287=0,H287=""),"",H287/G287)</f>
        <v/>
      </c>
    </row>
    <row r="288" customFormat="false" ht="15" hidden="false" customHeight="false" outlineLevel="0" collapsed="false">
      <c r="A288" s="12"/>
      <c r="B288" s="6"/>
      <c r="C288" s="13" t="str">
        <f aca="false">IF(B288="","",IFERROR(INDEX(สินค้า!$B$2:$B$101,MATCH(B288,สินค้า!$A$2:$A$101,0)),"ไม่พบรหัส"))</f>
        <v/>
      </c>
      <c r="D288" s="14" t="str">
        <f aca="false">IF(B288="","",IFERROR(INDEX(สินค้า!$D$2:$D$101,MATCH(B288,สินค้า!$A$2:$A$101,0)),""))</f>
        <v/>
      </c>
      <c r="E288" s="6"/>
      <c r="F288" s="8"/>
      <c r="G288" s="8"/>
      <c r="H288" s="8"/>
      <c r="I288" s="15"/>
      <c r="J288" s="15"/>
      <c r="K288" s="10" t="str">
        <f aca="false">IF(J288&lt;&gt;"",J288,IF(I288="","",I288*IFERROR(INDEX(สินค้า!$G$2:$G$101,MATCH(B288,สินค้า!$A$2:$A$101,0)),0)))</f>
        <v/>
      </c>
      <c r="L288" s="16" t="str">
        <f aca="false">IF(OR(F288="",F288=0,G288=""),"",G288/F288)</f>
        <v/>
      </c>
      <c r="M288" s="16" t="str">
        <f aca="false">IF(OR(G288="",G288=0,H288=""),"",H288/G288)</f>
        <v/>
      </c>
    </row>
    <row r="289" customFormat="false" ht="15" hidden="false" customHeight="false" outlineLevel="0" collapsed="false">
      <c r="A289" s="12"/>
      <c r="B289" s="6"/>
      <c r="C289" s="13" t="str">
        <f aca="false">IF(B289="","",IFERROR(INDEX(สินค้า!$B$2:$B$101,MATCH(B289,สินค้า!$A$2:$A$101,0)),"ไม่พบรหัส"))</f>
        <v/>
      </c>
      <c r="D289" s="14" t="str">
        <f aca="false">IF(B289="","",IFERROR(INDEX(สินค้า!$D$2:$D$101,MATCH(B289,สินค้า!$A$2:$A$101,0)),""))</f>
        <v/>
      </c>
      <c r="E289" s="6"/>
      <c r="F289" s="8"/>
      <c r="G289" s="8"/>
      <c r="H289" s="8"/>
      <c r="I289" s="15"/>
      <c r="J289" s="15"/>
      <c r="K289" s="10" t="str">
        <f aca="false">IF(J289&lt;&gt;"",J289,IF(I289="","",I289*IFERROR(INDEX(สินค้า!$G$2:$G$101,MATCH(B289,สินค้า!$A$2:$A$101,0)),0)))</f>
        <v/>
      </c>
      <c r="L289" s="16" t="str">
        <f aca="false">IF(OR(F289="",F289=0,G289=""),"",G289/F289)</f>
        <v/>
      </c>
      <c r="M289" s="16" t="str">
        <f aca="false">IF(OR(G289="",G289=0,H289=""),"",H289/G289)</f>
        <v/>
      </c>
    </row>
    <row r="290" customFormat="false" ht="15" hidden="false" customHeight="false" outlineLevel="0" collapsed="false">
      <c r="A290" s="12"/>
      <c r="B290" s="6"/>
      <c r="C290" s="13" t="str">
        <f aca="false">IF(B290="","",IFERROR(INDEX(สินค้า!$B$2:$B$101,MATCH(B290,สินค้า!$A$2:$A$101,0)),"ไม่พบรหัส"))</f>
        <v/>
      </c>
      <c r="D290" s="14" t="str">
        <f aca="false">IF(B290="","",IFERROR(INDEX(สินค้า!$D$2:$D$101,MATCH(B290,สินค้า!$A$2:$A$101,0)),""))</f>
        <v/>
      </c>
      <c r="E290" s="6"/>
      <c r="F290" s="8"/>
      <c r="G290" s="8"/>
      <c r="H290" s="8"/>
      <c r="I290" s="15"/>
      <c r="J290" s="15"/>
      <c r="K290" s="10" t="str">
        <f aca="false">IF(J290&lt;&gt;"",J290,IF(I290="","",I290*IFERROR(INDEX(สินค้า!$G$2:$G$101,MATCH(B290,สินค้า!$A$2:$A$101,0)),0)))</f>
        <v/>
      </c>
      <c r="L290" s="16" t="str">
        <f aca="false">IF(OR(F290="",F290=0,G290=""),"",G290/F290)</f>
        <v/>
      </c>
      <c r="M290" s="16" t="str">
        <f aca="false">IF(OR(G290="",G290=0,H290=""),"",H290/G290)</f>
        <v/>
      </c>
    </row>
    <row r="291" customFormat="false" ht="15" hidden="false" customHeight="false" outlineLevel="0" collapsed="false">
      <c r="A291" s="12"/>
      <c r="B291" s="6"/>
      <c r="C291" s="13" t="str">
        <f aca="false">IF(B291="","",IFERROR(INDEX(สินค้า!$B$2:$B$101,MATCH(B291,สินค้า!$A$2:$A$101,0)),"ไม่พบรหัส"))</f>
        <v/>
      </c>
      <c r="D291" s="14" t="str">
        <f aca="false">IF(B291="","",IFERROR(INDEX(สินค้า!$D$2:$D$101,MATCH(B291,สินค้า!$A$2:$A$101,0)),""))</f>
        <v/>
      </c>
      <c r="E291" s="6"/>
      <c r="F291" s="8"/>
      <c r="G291" s="8"/>
      <c r="H291" s="8"/>
      <c r="I291" s="15"/>
      <c r="J291" s="15"/>
      <c r="K291" s="10" t="str">
        <f aca="false">IF(J291&lt;&gt;"",J291,IF(I291="","",I291*IFERROR(INDEX(สินค้า!$G$2:$G$101,MATCH(B291,สินค้า!$A$2:$A$101,0)),0)))</f>
        <v/>
      </c>
      <c r="L291" s="16" t="str">
        <f aca="false">IF(OR(F291="",F291=0,G291=""),"",G291/F291)</f>
        <v/>
      </c>
      <c r="M291" s="16" t="str">
        <f aca="false">IF(OR(G291="",G291=0,H291=""),"",H291/G291)</f>
        <v/>
      </c>
    </row>
    <row r="292" customFormat="false" ht="15" hidden="false" customHeight="false" outlineLevel="0" collapsed="false">
      <c r="A292" s="12"/>
      <c r="B292" s="6"/>
      <c r="C292" s="13" t="str">
        <f aca="false">IF(B292="","",IFERROR(INDEX(สินค้า!$B$2:$B$101,MATCH(B292,สินค้า!$A$2:$A$101,0)),"ไม่พบรหัส"))</f>
        <v/>
      </c>
      <c r="D292" s="14" t="str">
        <f aca="false">IF(B292="","",IFERROR(INDEX(สินค้า!$D$2:$D$101,MATCH(B292,สินค้า!$A$2:$A$101,0)),""))</f>
        <v/>
      </c>
      <c r="E292" s="6"/>
      <c r="F292" s="8"/>
      <c r="G292" s="8"/>
      <c r="H292" s="8"/>
      <c r="I292" s="15"/>
      <c r="J292" s="15"/>
      <c r="K292" s="10" t="str">
        <f aca="false">IF(J292&lt;&gt;"",J292,IF(I292="","",I292*IFERROR(INDEX(สินค้า!$G$2:$G$101,MATCH(B292,สินค้า!$A$2:$A$101,0)),0)))</f>
        <v/>
      </c>
      <c r="L292" s="16" t="str">
        <f aca="false">IF(OR(F292="",F292=0,G292=""),"",G292/F292)</f>
        <v/>
      </c>
      <c r="M292" s="16" t="str">
        <f aca="false">IF(OR(G292="",G292=0,H292=""),"",H292/G292)</f>
        <v/>
      </c>
    </row>
    <row r="293" customFormat="false" ht="15" hidden="false" customHeight="false" outlineLevel="0" collapsed="false">
      <c r="A293" s="12"/>
      <c r="B293" s="6"/>
      <c r="C293" s="13" t="str">
        <f aca="false">IF(B293="","",IFERROR(INDEX(สินค้า!$B$2:$B$101,MATCH(B293,สินค้า!$A$2:$A$101,0)),"ไม่พบรหัส"))</f>
        <v/>
      </c>
      <c r="D293" s="14" t="str">
        <f aca="false">IF(B293="","",IFERROR(INDEX(สินค้า!$D$2:$D$101,MATCH(B293,สินค้า!$A$2:$A$101,0)),""))</f>
        <v/>
      </c>
      <c r="E293" s="6"/>
      <c r="F293" s="8"/>
      <c r="G293" s="8"/>
      <c r="H293" s="8"/>
      <c r="I293" s="15"/>
      <c r="J293" s="15"/>
      <c r="K293" s="10" t="str">
        <f aca="false">IF(J293&lt;&gt;"",J293,IF(I293="","",I293*IFERROR(INDEX(สินค้า!$G$2:$G$101,MATCH(B293,สินค้า!$A$2:$A$101,0)),0)))</f>
        <v/>
      </c>
      <c r="L293" s="16" t="str">
        <f aca="false">IF(OR(F293="",F293=0,G293=""),"",G293/F293)</f>
        <v/>
      </c>
      <c r="M293" s="16" t="str">
        <f aca="false">IF(OR(G293="",G293=0,H293=""),"",H293/G293)</f>
        <v/>
      </c>
    </row>
    <row r="294" customFormat="false" ht="15" hidden="false" customHeight="false" outlineLevel="0" collapsed="false">
      <c r="A294" s="12"/>
      <c r="B294" s="6"/>
      <c r="C294" s="13" t="str">
        <f aca="false">IF(B294="","",IFERROR(INDEX(สินค้า!$B$2:$B$101,MATCH(B294,สินค้า!$A$2:$A$101,0)),"ไม่พบรหัส"))</f>
        <v/>
      </c>
      <c r="D294" s="14" t="str">
        <f aca="false">IF(B294="","",IFERROR(INDEX(สินค้า!$D$2:$D$101,MATCH(B294,สินค้า!$A$2:$A$101,0)),""))</f>
        <v/>
      </c>
      <c r="E294" s="6"/>
      <c r="F294" s="8"/>
      <c r="G294" s="8"/>
      <c r="H294" s="8"/>
      <c r="I294" s="15"/>
      <c r="J294" s="15"/>
      <c r="K294" s="10" t="str">
        <f aca="false">IF(J294&lt;&gt;"",J294,IF(I294="","",I294*IFERROR(INDEX(สินค้า!$G$2:$G$101,MATCH(B294,สินค้า!$A$2:$A$101,0)),0)))</f>
        <v/>
      </c>
      <c r="L294" s="16" t="str">
        <f aca="false">IF(OR(F294="",F294=0,G294=""),"",G294/F294)</f>
        <v/>
      </c>
      <c r="M294" s="16" t="str">
        <f aca="false">IF(OR(G294="",G294=0,H294=""),"",H294/G294)</f>
        <v/>
      </c>
    </row>
    <row r="295" customFormat="false" ht="15" hidden="false" customHeight="false" outlineLevel="0" collapsed="false">
      <c r="A295" s="12"/>
      <c r="B295" s="6"/>
      <c r="C295" s="13" t="str">
        <f aca="false">IF(B295="","",IFERROR(INDEX(สินค้า!$B$2:$B$101,MATCH(B295,สินค้า!$A$2:$A$101,0)),"ไม่พบรหัส"))</f>
        <v/>
      </c>
      <c r="D295" s="14" t="str">
        <f aca="false">IF(B295="","",IFERROR(INDEX(สินค้า!$D$2:$D$101,MATCH(B295,สินค้า!$A$2:$A$101,0)),""))</f>
        <v/>
      </c>
      <c r="E295" s="6"/>
      <c r="F295" s="8"/>
      <c r="G295" s="8"/>
      <c r="H295" s="8"/>
      <c r="I295" s="15"/>
      <c r="J295" s="15"/>
      <c r="K295" s="10" t="str">
        <f aca="false">IF(J295&lt;&gt;"",J295,IF(I295="","",I295*IFERROR(INDEX(สินค้า!$G$2:$G$101,MATCH(B295,สินค้า!$A$2:$A$101,0)),0)))</f>
        <v/>
      </c>
      <c r="L295" s="16" t="str">
        <f aca="false">IF(OR(F295="",F295=0,G295=""),"",G295/F295)</f>
        <v/>
      </c>
      <c r="M295" s="16" t="str">
        <f aca="false">IF(OR(G295="",G295=0,H295=""),"",H295/G295)</f>
        <v/>
      </c>
    </row>
    <row r="296" customFormat="false" ht="15" hidden="false" customHeight="false" outlineLevel="0" collapsed="false">
      <c r="A296" s="12"/>
      <c r="B296" s="6"/>
      <c r="C296" s="13" t="str">
        <f aca="false">IF(B296="","",IFERROR(INDEX(สินค้า!$B$2:$B$101,MATCH(B296,สินค้า!$A$2:$A$101,0)),"ไม่พบรหัส"))</f>
        <v/>
      </c>
      <c r="D296" s="14" t="str">
        <f aca="false">IF(B296="","",IFERROR(INDEX(สินค้า!$D$2:$D$101,MATCH(B296,สินค้า!$A$2:$A$101,0)),""))</f>
        <v/>
      </c>
      <c r="E296" s="6"/>
      <c r="F296" s="8"/>
      <c r="G296" s="8"/>
      <c r="H296" s="8"/>
      <c r="I296" s="15"/>
      <c r="J296" s="15"/>
      <c r="K296" s="10" t="str">
        <f aca="false">IF(J296&lt;&gt;"",J296,IF(I296="","",I296*IFERROR(INDEX(สินค้า!$G$2:$G$101,MATCH(B296,สินค้า!$A$2:$A$101,0)),0)))</f>
        <v/>
      </c>
      <c r="L296" s="16" t="str">
        <f aca="false">IF(OR(F296="",F296=0,G296=""),"",G296/F296)</f>
        <v/>
      </c>
      <c r="M296" s="16" t="str">
        <f aca="false">IF(OR(G296="",G296=0,H296=""),"",H296/G296)</f>
        <v/>
      </c>
    </row>
    <row r="297" customFormat="false" ht="15" hidden="false" customHeight="false" outlineLevel="0" collapsed="false">
      <c r="A297" s="12"/>
      <c r="B297" s="6"/>
      <c r="C297" s="13" t="str">
        <f aca="false">IF(B297="","",IFERROR(INDEX(สินค้า!$B$2:$B$101,MATCH(B297,สินค้า!$A$2:$A$101,0)),"ไม่พบรหัส"))</f>
        <v/>
      </c>
      <c r="D297" s="14" t="str">
        <f aca="false">IF(B297="","",IFERROR(INDEX(สินค้า!$D$2:$D$101,MATCH(B297,สินค้า!$A$2:$A$101,0)),""))</f>
        <v/>
      </c>
      <c r="E297" s="6"/>
      <c r="F297" s="8"/>
      <c r="G297" s="8"/>
      <c r="H297" s="8"/>
      <c r="I297" s="15"/>
      <c r="J297" s="15"/>
      <c r="K297" s="10" t="str">
        <f aca="false">IF(J297&lt;&gt;"",J297,IF(I297="","",I297*IFERROR(INDEX(สินค้า!$G$2:$G$101,MATCH(B297,สินค้า!$A$2:$A$101,0)),0)))</f>
        <v/>
      </c>
      <c r="L297" s="16" t="str">
        <f aca="false">IF(OR(F297="",F297=0,G297=""),"",G297/F297)</f>
        <v/>
      </c>
      <c r="M297" s="16" t="str">
        <f aca="false">IF(OR(G297="",G297=0,H297=""),"",H297/G297)</f>
        <v/>
      </c>
    </row>
    <row r="298" customFormat="false" ht="15" hidden="false" customHeight="false" outlineLevel="0" collapsed="false">
      <c r="A298" s="12"/>
      <c r="B298" s="6"/>
      <c r="C298" s="13" t="str">
        <f aca="false">IF(B298="","",IFERROR(INDEX(สินค้า!$B$2:$B$101,MATCH(B298,สินค้า!$A$2:$A$101,0)),"ไม่พบรหัส"))</f>
        <v/>
      </c>
      <c r="D298" s="14" t="str">
        <f aca="false">IF(B298="","",IFERROR(INDEX(สินค้า!$D$2:$D$101,MATCH(B298,สินค้า!$A$2:$A$101,0)),""))</f>
        <v/>
      </c>
      <c r="E298" s="6"/>
      <c r="F298" s="8"/>
      <c r="G298" s="8"/>
      <c r="H298" s="8"/>
      <c r="I298" s="15"/>
      <c r="J298" s="15"/>
      <c r="K298" s="10" t="str">
        <f aca="false">IF(J298&lt;&gt;"",J298,IF(I298="","",I298*IFERROR(INDEX(สินค้า!$G$2:$G$101,MATCH(B298,สินค้า!$A$2:$A$101,0)),0)))</f>
        <v/>
      </c>
      <c r="L298" s="16" t="str">
        <f aca="false">IF(OR(F298="",F298=0,G298=""),"",G298/F298)</f>
        <v/>
      </c>
      <c r="M298" s="16" t="str">
        <f aca="false">IF(OR(G298="",G298=0,H298=""),"",H298/G298)</f>
        <v/>
      </c>
    </row>
    <row r="299" customFormat="false" ht="15" hidden="false" customHeight="false" outlineLevel="0" collapsed="false">
      <c r="A299" s="12"/>
      <c r="B299" s="6"/>
      <c r="C299" s="13" t="str">
        <f aca="false">IF(B299="","",IFERROR(INDEX(สินค้า!$B$2:$B$101,MATCH(B299,สินค้า!$A$2:$A$101,0)),"ไม่พบรหัส"))</f>
        <v/>
      </c>
      <c r="D299" s="14" t="str">
        <f aca="false">IF(B299="","",IFERROR(INDEX(สินค้า!$D$2:$D$101,MATCH(B299,สินค้า!$A$2:$A$101,0)),""))</f>
        <v/>
      </c>
      <c r="E299" s="6"/>
      <c r="F299" s="8"/>
      <c r="G299" s="8"/>
      <c r="H299" s="8"/>
      <c r="I299" s="15"/>
      <c r="J299" s="15"/>
      <c r="K299" s="10" t="str">
        <f aca="false">IF(J299&lt;&gt;"",J299,IF(I299="","",I299*IFERROR(INDEX(สินค้า!$G$2:$G$101,MATCH(B299,สินค้า!$A$2:$A$101,0)),0)))</f>
        <v/>
      </c>
      <c r="L299" s="16" t="str">
        <f aca="false">IF(OR(F299="",F299=0,G299=""),"",G299/F299)</f>
        <v/>
      </c>
      <c r="M299" s="16" t="str">
        <f aca="false">IF(OR(G299="",G299=0,H299=""),"",H299/G299)</f>
        <v/>
      </c>
    </row>
    <row r="300" customFormat="false" ht="15" hidden="false" customHeight="false" outlineLevel="0" collapsed="false">
      <c r="A300" s="12"/>
      <c r="B300" s="6"/>
      <c r="C300" s="13" t="str">
        <f aca="false">IF(B300="","",IFERROR(INDEX(สินค้า!$B$2:$B$101,MATCH(B300,สินค้า!$A$2:$A$101,0)),"ไม่พบรหัส"))</f>
        <v/>
      </c>
      <c r="D300" s="14" t="str">
        <f aca="false">IF(B300="","",IFERROR(INDEX(สินค้า!$D$2:$D$101,MATCH(B300,สินค้า!$A$2:$A$101,0)),""))</f>
        <v/>
      </c>
      <c r="E300" s="6"/>
      <c r="F300" s="8"/>
      <c r="G300" s="8"/>
      <c r="H300" s="8"/>
      <c r="I300" s="15"/>
      <c r="J300" s="15"/>
      <c r="K300" s="10" t="str">
        <f aca="false">IF(J300&lt;&gt;"",J300,IF(I300="","",I300*IFERROR(INDEX(สินค้า!$G$2:$G$101,MATCH(B300,สินค้า!$A$2:$A$101,0)),0)))</f>
        <v/>
      </c>
      <c r="L300" s="16" t="str">
        <f aca="false">IF(OR(F300="",F300=0,G300=""),"",G300/F300)</f>
        <v/>
      </c>
      <c r="M300" s="16" t="str">
        <f aca="false">IF(OR(G300="",G300=0,H300=""),"",H300/G300)</f>
        <v/>
      </c>
    </row>
    <row r="301" customFormat="false" ht="15" hidden="false" customHeight="false" outlineLevel="0" collapsed="false">
      <c r="A301" s="12"/>
      <c r="B301" s="6"/>
      <c r="C301" s="13" t="str">
        <f aca="false">IF(B301="","",IFERROR(INDEX(สินค้า!$B$2:$B$101,MATCH(B301,สินค้า!$A$2:$A$101,0)),"ไม่พบรหัส"))</f>
        <v/>
      </c>
      <c r="D301" s="14" t="str">
        <f aca="false">IF(B301="","",IFERROR(INDEX(สินค้า!$D$2:$D$101,MATCH(B301,สินค้า!$A$2:$A$101,0)),""))</f>
        <v/>
      </c>
      <c r="E301" s="6"/>
      <c r="F301" s="8"/>
      <c r="G301" s="8"/>
      <c r="H301" s="8"/>
      <c r="I301" s="15"/>
      <c r="J301" s="15"/>
      <c r="K301" s="10" t="str">
        <f aca="false">IF(J301&lt;&gt;"",J301,IF(I301="","",I301*IFERROR(INDEX(สินค้า!$G$2:$G$101,MATCH(B301,สินค้า!$A$2:$A$101,0)),0)))</f>
        <v/>
      </c>
      <c r="L301" s="16" t="str">
        <f aca="false">IF(OR(F301="",F301=0,G301=""),"",G301/F301)</f>
        <v/>
      </c>
      <c r="M301" s="16" t="str">
        <f aca="false">IF(OR(G301="",G301=0,H301=""),"",H301/G301)</f>
        <v/>
      </c>
    </row>
    <row r="302" customFormat="false" ht="15" hidden="false" customHeight="false" outlineLevel="0" collapsed="false">
      <c r="A302" s="12"/>
      <c r="B302" s="6"/>
      <c r="C302" s="13" t="str">
        <f aca="false">IF(B302="","",IFERROR(INDEX(สินค้า!$B$2:$B$101,MATCH(B302,สินค้า!$A$2:$A$101,0)),"ไม่พบรหัส"))</f>
        <v/>
      </c>
      <c r="D302" s="14" t="str">
        <f aca="false">IF(B302="","",IFERROR(INDEX(สินค้า!$D$2:$D$101,MATCH(B302,สินค้า!$A$2:$A$101,0)),""))</f>
        <v/>
      </c>
      <c r="E302" s="6"/>
      <c r="F302" s="8"/>
      <c r="G302" s="8"/>
      <c r="H302" s="8"/>
      <c r="I302" s="15"/>
      <c r="J302" s="15"/>
      <c r="K302" s="10" t="str">
        <f aca="false">IF(J302&lt;&gt;"",J302,IF(I302="","",I302*IFERROR(INDEX(สินค้า!$G$2:$G$101,MATCH(B302,สินค้า!$A$2:$A$101,0)),0)))</f>
        <v/>
      </c>
      <c r="L302" s="16" t="str">
        <f aca="false">IF(OR(F302="",F302=0,G302=""),"",G302/F302)</f>
        <v/>
      </c>
      <c r="M302" s="16" t="str">
        <f aca="false">IF(OR(G302="",G302=0,H302=""),"",H302/G302)</f>
        <v/>
      </c>
    </row>
    <row r="303" customFormat="false" ht="15" hidden="false" customHeight="false" outlineLevel="0" collapsed="false">
      <c r="A303" s="12"/>
      <c r="B303" s="6"/>
      <c r="C303" s="13" t="str">
        <f aca="false">IF(B303="","",IFERROR(INDEX(สินค้า!$B$2:$B$101,MATCH(B303,สินค้า!$A$2:$A$101,0)),"ไม่พบรหัส"))</f>
        <v/>
      </c>
      <c r="D303" s="14" t="str">
        <f aca="false">IF(B303="","",IFERROR(INDEX(สินค้า!$D$2:$D$101,MATCH(B303,สินค้า!$A$2:$A$101,0)),""))</f>
        <v/>
      </c>
      <c r="E303" s="6"/>
      <c r="F303" s="8"/>
      <c r="G303" s="8"/>
      <c r="H303" s="8"/>
      <c r="I303" s="15"/>
      <c r="J303" s="15"/>
      <c r="K303" s="10" t="str">
        <f aca="false">IF(J303&lt;&gt;"",J303,IF(I303="","",I303*IFERROR(INDEX(สินค้า!$G$2:$G$101,MATCH(B303,สินค้า!$A$2:$A$101,0)),0)))</f>
        <v/>
      </c>
      <c r="L303" s="16" t="str">
        <f aca="false">IF(OR(F303="",F303=0,G303=""),"",G303/F303)</f>
        <v/>
      </c>
      <c r="M303" s="16" t="str">
        <f aca="false">IF(OR(G303="",G303=0,H303=""),"",H303/G303)</f>
        <v/>
      </c>
    </row>
    <row r="304" customFormat="false" ht="15" hidden="false" customHeight="false" outlineLevel="0" collapsed="false">
      <c r="A304" s="12"/>
      <c r="B304" s="6"/>
      <c r="C304" s="13" t="str">
        <f aca="false">IF(B304="","",IFERROR(INDEX(สินค้า!$B$2:$B$101,MATCH(B304,สินค้า!$A$2:$A$101,0)),"ไม่พบรหัส"))</f>
        <v/>
      </c>
      <c r="D304" s="14" t="str">
        <f aca="false">IF(B304="","",IFERROR(INDEX(สินค้า!$D$2:$D$101,MATCH(B304,สินค้า!$A$2:$A$101,0)),""))</f>
        <v/>
      </c>
      <c r="E304" s="6"/>
      <c r="F304" s="8"/>
      <c r="G304" s="8"/>
      <c r="H304" s="8"/>
      <c r="I304" s="15"/>
      <c r="J304" s="15"/>
      <c r="K304" s="10" t="str">
        <f aca="false">IF(J304&lt;&gt;"",J304,IF(I304="","",I304*IFERROR(INDEX(สินค้า!$G$2:$G$101,MATCH(B304,สินค้า!$A$2:$A$101,0)),0)))</f>
        <v/>
      </c>
      <c r="L304" s="16" t="str">
        <f aca="false">IF(OR(F304="",F304=0,G304=""),"",G304/F304)</f>
        <v/>
      </c>
      <c r="M304" s="16" t="str">
        <f aca="false">IF(OR(G304="",G304=0,H304=""),"",H304/G304)</f>
        <v/>
      </c>
    </row>
    <row r="305" customFormat="false" ht="15" hidden="false" customHeight="false" outlineLevel="0" collapsed="false">
      <c r="A305" s="12"/>
      <c r="B305" s="6"/>
      <c r="C305" s="13" t="str">
        <f aca="false">IF(B305="","",IFERROR(INDEX(สินค้า!$B$2:$B$101,MATCH(B305,สินค้า!$A$2:$A$101,0)),"ไม่พบรหัส"))</f>
        <v/>
      </c>
      <c r="D305" s="14" t="str">
        <f aca="false">IF(B305="","",IFERROR(INDEX(สินค้า!$D$2:$D$101,MATCH(B305,สินค้า!$A$2:$A$101,0)),""))</f>
        <v/>
      </c>
      <c r="E305" s="6"/>
      <c r="F305" s="8"/>
      <c r="G305" s="8"/>
      <c r="H305" s="8"/>
      <c r="I305" s="15"/>
      <c r="J305" s="15"/>
      <c r="K305" s="10" t="str">
        <f aca="false">IF(J305&lt;&gt;"",J305,IF(I305="","",I305*IFERROR(INDEX(สินค้า!$G$2:$G$101,MATCH(B305,สินค้า!$A$2:$A$101,0)),0)))</f>
        <v/>
      </c>
      <c r="L305" s="16" t="str">
        <f aca="false">IF(OR(F305="",F305=0,G305=""),"",G305/F305)</f>
        <v/>
      </c>
      <c r="M305" s="16" t="str">
        <f aca="false">IF(OR(G305="",G305=0,H305=""),"",H305/G305)</f>
        <v/>
      </c>
    </row>
    <row r="306" customFormat="false" ht="15" hidden="false" customHeight="false" outlineLevel="0" collapsed="false">
      <c r="A306" s="12"/>
      <c r="B306" s="6"/>
      <c r="C306" s="13" t="str">
        <f aca="false">IF(B306="","",IFERROR(INDEX(สินค้า!$B$2:$B$101,MATCH(B306,สินค้า!$A$2:$A$101,0)),"ไม่พบรหัส"))</f>
        <v/>
      </c>
      <c r="D306" s="14" t="str">
        <f aca="false">IF(B306="","",IFERROR(INDEX(สินค้า!$D$2:$D$101,MATCH(B306,สินค้า!$A$2:$A$101,0)),""))</f>
        <v/>
      </c>
      <c r="E306" s="6"/>
      <c r="F306" s="8"/>
      <c r="G306" s="8"/>
      <c r="H306" s="8"/>
      <c r="I306" s="15"/>
      <c r="J306" s="15"/>
      <c r="K306" s="10" t="str">
        <f aca="false">IF(J306&lt;&gt;"",J306,IF(I306="","",I306*IFERROR(INDEX(สินค้า!$G$2:$G$101,MATCH(B306,สินค้า!$A$2:$A$101,0)),0)))</f>
        <v/>
      </c>
      <c r="L306" s="16" t="str">
        <f aca="false">IF(OR(F306="",F306=0,G306=""),"",G306/F306)</f>
        <v/>
      </c>
      <c r="M306" s="16" t="str">
        <f aca="false">IF(OR(G306="",G306=0,H306=""),"",H306/G306)</f>
        <v/>
      </c>
    </row>
    <row r="307" customFormat="false" ht="15" hidden="false" customHeight="false" outlineLevel="0" collapsed="false">
      <c r="A307" s="12"/>
      <c r="B307" s="6"/>
      <c r="C307" s="13" t="str">
        <f aca="false">IF(B307="","",IFERROR(INDEX(สินค้า!$B$2:$B$101,MATCH(B307,สินค้า!$A$2:$A$101,0)),"ไม่พบรหัส"))</f>
        <v/>
      </c>
      <c r="D307" s="14" t="str">
        <f aca="false">IF(B307="","",IFERROR(INDEX(สินค้า!$D$2:$D$101,MATCH(B307,สินค้า!$A$2:$A$101,0)),""))</f>
        <v/>
      </c>
      <c r="E307" s="6"/>
      <c r="F307" s="8"/>
      <c r="G307" s="8"/>
      <c r="H307" s="8"/>
      <c r="I307" s="15"/>
      <c r="J307" s="15"/>
      <c r="K307" s="10" t="str">
        <f aca="false">IF(J307&lt;&gt;"",J307,IF(I307="","",I307*IFERROR(INDEX(สินค้า!$G$2:$G$101,MATCH(B307,สินค้า!$A$2:$A$101,0)),0)))</f>
        <v/>
      </c>
      <c r="L307" s="16" t="str">
        <f aca="false">IF(OR(F307="",F307=0,G307=""),"",G307/F307)</f>
        <v/>
      </c>
      <c r="M307" s="16" t="str">
        <f aca="false">IF(OR(G307="",G307=0,H307=""),"",H307/G307)</f>
        <v/>
      </c>
    </row>
    <row r="308" customFormat="false" ht="15" hidden="false" customHeight="false" outlineLevel="0" collapsed="false">
      <c r="A308" s="12"/>
      <c r="B308" s="6"/>
      <c r="C308" s="13" t="str">
        <f aca="false">IF(B308="","",IFERROR(INDEX(สินค้า!$B$2:$B$101,MATCH(B308,สินค้า!$A$2:$A$101,0)),"ไม่พบรหัส"))</f>
        <v/>
      </c>
      <c r="D308" s="14" t="str">
        <f aca="false">IF(B308="","",IFERROR(INDEX(สินค้า!$D$2:$D$101,MATCH(B308,สินค้า!$A$2:$A$101,0)),""))</f>
        <v/>
      </c>
      <c r="E308" s="6"/>
      <c r="F308" s="8"/>
      <c r="G308" s="8"/>
      <c r="H308" s="8"/>
      <c r="I308" s="15"/>
      <c r="J308" s="15"/>
      <c r="K308" s="10" t="str">
        <f aca="false">IF(J308&lt;&gt;"",J308,IF(I308="","",I308*IFERROR(INDEX(สินค้า!$G$2:$G$101,MATCH(B308,สินค้า!$A$2:$A$101,0)),0)))</f>
        <v/>
      </c>
      <c r="L308" s="16" t="str">
        <f aca="false">IF(OR(F308="",F308=0,G308=""),"",G308/F308)</f>
        <v/>
      </c>
      <c r="M308" s="16" t="str">
        <f aca="false">IF(OR(G308="",G308=0,H308=""),"",H308/G308)</f>
        <v/>
      </c>
    </row>
    <row r="309" customFormat="false" ht="15" hidden="false" customHeight="false" outlineLevel="0" collapsed="false">
      <c r="A309" s="12"/>
      <c r="B309" s="6"/>
      <c r="C309" s="13" t="str">
        <f aca="false">IF(B309="","",IFERROR(INDEX(สินค้า!$B$2:$B$101,MATCH(B309,สินค้า!$A$2:$A$101,0)),"ไม่พบรหัส"))</f>
        <v/>
      </c>
      <c r="D309" s="14" t="str">
        <f aca="false">IF(B309="","",IFERROR(INDEX(สินค้า!$D$2:$D$101,MATCH(B309,สินค้า!$A$2:$A$101,0)),""))</f>
        <v/>
      </c>
      <c r="E309" s="6"/>
      <c r="F309" s="8"/>
      <c r="G309" s="8"/>
      <c r="H309" s="8"/>
      <c r="I309" s="15"/>
      <c r="J309" s="15"/>
      <c r="K309" s="10" t="str">
        <f aca="false">IF(J309&lt;&gt;"",J309,IF(I309="","",I309*IFERROR(INDEX(สินค้า!$G$2:$G$101,MATCH(B309,สินค้า!$A$2:$A$101,0)),0)))</f>
        <v/>
      </c>
      <c r="L309" s="16" t="str">
        <f aca="false">IF(OR(F309="",F309=0,G309=""),"",G309/F309)</f>
        <v/>
      </c>
      <c r="M309" s="16" t="str">
        <f aca="false">IF(OR(G309="",G309=0,H309=""),"",H309/G309)</f>
        <v/>
      </c>
    </row>
    <row r="310" customFormat="false" ht="15" hidden="false" customHeight="false" outlineLevel="0" collapsed="false">
      <c r="A310" s="12"/>
      <c r="B310" s="6"/>
      <c r="C310" s="13" t="str">
        <f aca="false">IF(B310="","",IFERROR(INDEX(สินค้า!$B$2:$B$101,MATCH(B310,สินค้า!$A$2:$A$101,0)),"ไม่พบรหัส"))</f>
        <v/>
      </c>
      <c r="D310" s="14" t="str">
        <f aca="false">IF(B310="","",IFERROR(INDEX(สินค้า!$D$2:$D$101,MATCH(B310,สินค้า!$A$2:$A$101,0)),""))</f>
        <v/>
      </c>
      <c r="E310" s="6"/>
      <c r="F310" s="8"/>
      <c r="G310" s="8"/>
      <c r="H310" s="8"/>
      <c r="I310" s="15"/>
      <c r="J310" s="15"/>
      <c r="K310" s="10" t="str">
        <f aca="false">IF(J310&lt;&gt;"",J310,IF(I310="","",I310*IFERROR(INDEX(สินค้า!$G$2:$G$101,MATCH(B310,สินค้า!$A$2:$A$101,0)),0)))</f>
        <v/>
      </c>
      <c r="L310" s="16" t="str">
        <f aca="false">IF(OR(F310="",F310=0,G310=""),"",G310/F310)</f>
        <v/>
      </c>
      <c r="M310" s="16" t="str">
        <f aca="false">IF(OR(G310="",G310=0,H310=""),"",H310/G310)</f>
        <v/>
      </c>
    </row>
    <row r="311" customFormat="false" ht="15" hidden="false" customHeight="false" outlineLevel="0" collapsed="false">
      <c r="A311" s="12"/>
      <c r="B311" s="6"/>
      <c r="C311" s="13" t="str">
        <f aca="false">IF(B311="","",IFERROR(INDEX(สินค้า!$B$2:$B$101,MATCH(B311,สินค้า!$A$2:$A$101,0)),"ไม่พบรหัส"))</f>
        <v/>
      </c>
      <c r="D311" s="14" t="str">
        <f aca="false">IF(B311="","",IFERROR(INDEX(สินค้า!$D$2:$D$101,MATCH(B311,สินค้า!$A$2:$A$101,0)),""))</f>
        <v/>
      </c>
      <c r="E311" s="6"/>
      <c r="F311" s="8"/>
      <c r="G311" s="8"/>
      <c r="H311" s="8"/>
      <c r="I311" s="15"/>
      <c r="J311" s="15"/>
      <c r="K311" s="10" t="str">
        <f aca="false">IF(J311&lt;&gt;"",J311,IF(I311="","",I311*IFERROR(INDEX(สินค้า!$G$2:$G$101,MATCH(B311,สินค้า!$A$2:$A$101,0)),0)))</f>
        <v/>
      </c>
      <c r="L311" s="16" t="str">
        <f aca="false">IF(OR(F311="",F311=0,G311=""),"",G311/F311)</f>
        <v/>
      </c>
      <c r="M311" s="16" t="str">
        <f aca="false">IF(OR(G311="",G311=0,H311=""),"",H311/G311)</f>
        <v/>
      </c>
    </row>
    <row r="312" customFormat="false" ht="15" hidden="false" customHeight="false" outlineLevel="0" collapsed="false">
      <c r="A312" s="12"/>
      <c r="B312" s="6"/>
      <c r="C312" s="13" t="str">
        <f aca="false">IF(B312="","",IFERROR(INDEX(สินค้า!$B$2:$B$101,MATCH(B312,สินค้า!$A$2:$A$101,0)),"ไม่พบรหัส"))</f>
        <v/>
      </c>
      <c r="D312" s="14" t="str">
        <f aca="false">IF(B312="","",IFERROR(INDEX(สินค้า!$D$2:$D$101,MATCH(B312,สินค้า!$A$2:$A$101,0)),""))</f>
        <v/>
      </c>
      <c r="E312" s="6"/>
      <c r="F312" s="8"/>
      <c r="G312" s="8"/>
      <c r="H312" s="8"/>
      <c r="I312" s="15"/>
      <c r="J312" s="15"/>
      <c r="K312" s="10" t="str">
        <f aca="false">IF(J312&lt;&gt;"",J312,IF(I312="","",I312*IFERROR(INDEX(สินค้า!$G$2:$G$101,MATCH(B312,สินค้า!$A$2:$A$101,0)),0)))</f>
        <v/>
      </c>
      <c r="L312" s="16" t="str">
        <f aca="false">IF(OR(F312="",F312=0,G312=""),"",G312/F312)</f>
        <v/>
      </c>
      <c r="M312" s="16" t="str">
        <f aca="false">IF(OR(G312="",G312=0,H312=""),"",H312/G312)</f>
        <v/>
      </c>
    </row>
    <row r="313" customFormat="false" ht="15" hidden="false" customHeight="false" outlineLevel="0" collapsed="false">
      <c r="A313" s="12"/>
      <c r="B313" s="6"/>
      <c r="C313" s="13" t="str">
        <f aca="false">IF(B313="","",IFERROR(INDEX(สินค้า!$B$2:$B$101,MATCH(B313,สินค้า!$A$2:$A$101,0)),"ไม่พบรหัส"))</f>
        <v/>
      </c>
      <c r="D313" s="14" t="str">
        <f aca="false">IF(B313="","",IFERROR(INDEX(สินค้า!$D$2:$D$101,MATCH(B313,สินค้า!$A$2:$A$101,0)),""))</f>
        <v/>
      </c>
      <c r="E313" s="6"/>
      <c r="F313" s="8"/>
      <c r="G313" s="8"/>
      <c r="H313" s="8"/>
      <c r="I313" s="15"/>
      <c r="J313" s="15"/>
      <c r="K313" s="10" t="str">
        <f aca="false">IF(J313&lt;&gt;"",J313,IF(I313="","",I313*IFERROR(INDEX(สินค้า!$G$2:$G$101,MATCH(B313,สินค้า!$A$2:$A$101,0)),0)))</f>
        <v/>
      </c>
      <c r="L313" s="16" t="str">
        <f aca="false">IF(OR(F313="",F313=0,G313=""),"",G313/F313)</f>
        <v/>
      </c>
      <c r="M313" s="16" t="str">
        <f aca="false">IF(OR(G313="",G313=0,H313=""),"",H313/G313)</f>
        <v/>
      </c>
    </row>
    <row r="314" customFormat="false" ht="15" hidden="false" customHeight="false" outlineLevel="0" collapsed="false">
      <c r="A314" s="12"/>
      <c r="B314" s="6"/>
      <c r="C314" s="13" t="str">
        <f aca="false">IF(B314="","",IFERROR(INDEX(สินค้า!$B$2:$B$101,MATCH(B314,สินค้า!$A$2:$A$101,0)),"ไม่พบรหัส"))</f>
        <v/>
      </c>
      <c r="D314" s="14" t="str">
        <f aca="false">IF(B314="","",IFERROR(INDEX(สินค้า!$D$2:$D$101,MATCH(B314,สินค้า!$A$2:$A$101,0)),""))</f>
        <v/>
      </c>
      <c r="E314" s="6"/>
      <c r="F314" s="8"/>
      <c r="G314" s="8"/>
      <c r="H314" s="8"/>
      <c r="I314" s="15"/>
      <c r="J314" s="15"/>
      <c r="K314" s="10" t="str">
        <f aca="false">IF(J314&lt;&gt;"",J314,IF(I314="","",I314*IFERROR(INDEX(สินค้า!$G$2:$G$101,MATCH(B314,สินค้า!$A$2:$A$101,0)),0)))</f>
        <v/>
      </c>
      <c r="L314" s="16" t="str">
        <f aca="false">IF(OR(F314="",F314=0,G314=""),"",G314/F314)</f>
        <v/>
      </c>
      <c r="M314" s="16" t="str">
        <f aca="false">IF(OR(G314="",G314=0,H314=""),"",H314/G314)</f>
        <v/>
      </c>
    </row>
    <row r="315" customFormat="false" ht="15" hidden="false" customHeight="false" outlineLevel="0" collapsed="false">
      <c r="A315" s="12"/>
      <c r="B315" s="6"/>
      <c r="C315" s="13" t="str">
        <f aca="false">IF(B315="","",IFERROR(INDEX(สินค้า!$B$2:$B$101,MATCH(B315,สินค้า!$A$2:$A$101,0)),"ไม่พบรหัส"))</f>
        <v/>
      </c>
      <c r="D315" s="14" t="str">
        <f aca="false">IF(B315="","",IFERROR(INDEX(สินค้า!$D$2:$D$101,MATCH(B315,สินค้า!$A$2:$A$101,0)),""))</f>
        <v/>
      </c>
      <c r="E315" s="6"/>
      <c r="F315" s="8"/>
      <c r="G315" s="8"/>
      <c r="H315" s="8"/>
      <c r="I315" s="15"/>
      <c r="J315" s="15"/>
      <c r="K315" s="10" t="str">
        <f aca="false">IF(J315&lt;&gt;"",J315,IF(I315="","",I315*IFERROR(INDEX(สินค้า!$G$2:$G$101,MATCH(B315,สินค้า!$A$2:$A$101,0)),0)))</f>
        <v/>
      </c>
      <c r="L315" s="16" t="str">
        <f aca="false">IF(OR(F315="",F315=0,G315=""),"",G315/F315)</f>
        <v/>
      </c>
      <c r="M315" s="16" t="str">
        <f aca="false">IF(OR(G315="",G315=0,H315=""),"",H315/G315)</f>
        <v/>
      </c>
    </row>
    <row r="316" customFormat="false" ht="15" hidden="false" customHeight="false" outlineLevel="0" collapsed="false">
      <c r="A316" s="12"/>
      <c r="B316" s="6"/>
      <c r="C316" s="13" t="str">
        <f aca="false">IF(B316="","",IFERROR(INDEX(สินค้า!$B$2:$B$101,MATCH(B316,สินค้า!$A$2:$A$101,0)),"ไม่พบรหัส"))</f>
        <v/>
      </c>
      <c r="D316" s="14" t="str">
        <f aca="false">IF(B316="","",IFERROR(INDEX(สินค้า!$D$2:$D$101,MATCH(B316,สินค้า!$A$2:$A$101,0)),""))</f>
        <v/>
      </c>
      <c r="E316" s="6"/>
      <c r="F316" s="8"/>
      <c r="G316" s="8"/>
      <c r="H316" s="8"/>
      <c r="I316" s="15"/>
      <c r="J316" s="15"/>
      <c r="K316" s="10" t="str">
        <f aca="false">IF(J316&lt;&gt;"",J316,IF(I316="","",I316*IFERROR(INDEX(สินค้า!$G$2:$G$101,MATCH(B316,สินค้า!$A$2:$A$101,0)),0)))</f>
        <v/>
      </c>
      <c r="L316" s="16" t="str">
        <f aca="false">IF(OR(F316="",F316=0,G316=""),"",G316/F316)</f>
        <v/>
      </c>
      <c r="M316" s="16" t="str">
        <f aca="false">IF(OR(G316="",G316=0,H316=""),"",H316/G316)</f>
        <v/>
      </c>
    </row>
    <row r="317" customFormat="false" ht="15" hidden="false" customHeight="false" outlineLevel="0" collapsed="false">
      <c r="A317" s="12"/>
      <c r="B317" s="6"/>
      <c r="C317" s="13" t="str">
        <f aca="false">IF(B317="","",IFERROR(INDEX(สินค้า!$B$2:$B$101,MATCH(B317,สินค้า!$A$2:$A$101,0)),"ไม่พบรหัส"))</f>
        <v/>
      </c>
      <c r="D317" s="14" t="str">
        <f aca="false">IF(B317="","",IFERROR(INDEX(สินค้า!$D$2:$D$101,MATCH(B317,สินค้า!$A$2:$A$101,0)),""))</f>
        <v/>
      </c>
      <c r="E317" s="6"/>
      <c r="F317" s="8"/>
      <c r="G317" s="8"/>
      <c r="H317" s="8"/>
      <c r="I317" s="15"/>
      <c r="J317" s="15"/>
      <c r="K317" s="10" t="str">
        <f aca="false">IF(J317&lt;&gt;"",J317,IF(I317="","",I317*IFERROR(INDEX(สินค้า!$G$2:$G$101,MATCH(B317,สินค้า!$A$2:$A$101,0)),0)))</f>
        <v/>
      </c>
      <c r="L317" s="16" t="str">
        <f aca="false">IF(OR(F317="",F317=0,G317=""),"",G317/F317)</f>
        <v/>
      </c>
      <c r="M317" s="16" t="str">
        <f aca="false">IF(OR(G317="",G317=0,H317=""),"",H317/G317)</f>
        <v/>
      </c>
    </row>
    <row r="318" customFormat="false" ht="15" hidden="false" customHeight="false" outlineLevel="0" collapsed="false">
      <c r="A318" s="12"/>
      <c r="B318" s="6"/>
      <c r="C318" s="13" t="str">
        <f aca="false">IF(B318="","",IFERROR(INDEX(สินค้า!$B$2:$B$101,MATCH(B318,สินค้า!$A$2:$A$101,0)),"ไม่พบรหัส"))</f>
        <v/>
      </c>
      <c r="D318" s="14" t="str">
        <f aca="false">IF(B318="","",IFERROR(INDEX(สินค้า!$D$2:$D$101,MATCH(B318,สินค้า!$A$2:$A$101,0)),""))</f>
        <v/>
      </c>
      <c r="E318" s="6"/>
      <c r="F318" s="8"/>
      <c r="G318" s="8"/>
      <c r="H318" s="8"/>
      <c r="I318" s="15"/>
      <c r="J318" s="15"/>
      <c r="K318" s="10" t="str">
        <f aca="false">IF(J318&lt;&gt;"",J318,IF(I318="","",I318*IFERROR(INDEX(สินค้า!$G$2:$G$101,MATCH(B318,สินค้า!$A$2:$A$101,0)),0)))</f>
        <v/>
      </c>
      <c r="L318" s="16" t="str">
        <f aca="false">IF(OR(F318="",F318=0,G318=""),"",G318/F318)</f>
        <v/>
      </c>
      <c r="M318" s="16" t="str">
        <f aca="false">IF(OR(G318="",G318=0,H318=""),"",H318/G318)</f>
        <v/>
      </c>
    </row>
    <row r="319" customFormat="false" ht="15" hidden="false" customHeight="false" outlineLevel="0" collapsed="false">
      <c r="A319" s="12"/>
      <c r="B319" s="6"/>
      <c r="C319" s="13" t="str">
        <f aca="false">IF(B319="","",IFERROR(INDEX(สินค้า!$B$2:$B$101,MATCH(B319,สินค้า!$A$2:$A$101,0)),"ไม่พบรหัส"))</f>
        <v/>
      </c>
      <c r="D319" s="14" t="str">
        <f aca="false">IF(B319="","",IFERROR(INDEX(สินค้า!$D$2:$D$101,MATCH(B319,สินค้า!$A$2:$A$101,0)),""))</f>
        <v/>
      </c>
      <c r="E319" s="6"/>
      <c r="F319" s="8"/>
      <c r="G319" s="8"/>
      <c r="H319" s="8"/>
      <c r="I319" s="15"/>
      <c r="J319" s="15"/>
      <c r="K319" s="10" t="str">
        <f aca="false">IF(J319&lt;&gt;"",J319,IF(I319="","",I319*IFERROR(INDEX(สินค้า!$G$2:$G$101,MATCH(B319,สินค้า!$A$2:$A$101,0)),0)))</f>
        <v/>
      </c>
      <c r="L319" s="16" t="str">
        <f aca="false">IF(OR(F319="",F319=0,G319=""),"",G319/F319)</f>
        <v/>
      </c>
      <c r="M319" s="16" t="str">
        <f aca="false">IF(OR(G319="",G319=0,H319=""),"",H319/G319)</f>
        <v/>
      </c>
    </row>
    <row r="320" customFormat="false" ht="15" hidden="false" customHeight="false" outlineLevel="0" collapsed="false">
      <c r="A320" s="12"/>
      <c r="B320" s="6"/>
      <c r="C320" s="13" t="str">
        <f aca="false">IF(B320="","",IFERROR(INDEX(สินค้า!$B$2:$B$101,MATCH(B320,สินค้า!$A$2:$A$101,0)),"ไม่พบรหัส"))</f>
        <v/>
      </c>
      <c r="D320" s="14" t="str">
        <f aca="false">IF(B320="","",IFERROR(INDEX(สินค้า!$D$2:$D$101,MATCH(B320,สินค้า!$A$2:$A$101,0)),""))</f>
        <v/>
      </c>
      <c r="E320" s="6"/>
      <c r="F320" s="8"/>
      <c r="G320" s="8"/>
      <c r="H320" s="8"/>
      <c r="I320" s="15"/>
      <c r="J320" s="15"/>
      <c r="K320" s="10" t="str">
        <f aca="false">IF(J320&lt;&gt;"",J320,IF(I320="","",I320*IFERROR(INDEX(สินค้า!$G$2:$G$101,MATCH(B320,สินค้า!$A$2:$A$101,0)),0)))</f>
        <v/>
      </c>
      <c r="L320" s="16" t="str">
        <f aca="false">IF(OR(F320="",F320=0,G320=""),"",G320/F320)</f>
        <v/>
      </c>
      <c r="M320" s="16" t="str">
        <f aca="false">IF(OR(G320="",G320=0,H320=""),"",H320/G320)</f>
        <v/>
      </c>
    </row>
    <row r="321" customFormat="false" ht="15" hidden="false" customHeight="false" outlineLevel="0" collapsed="false">
      <c r="A321" s="12"/>
      <c r="B321" s="6"/>
      <c r="C321" s="13" t="str">
        <f aca="false">IF(B321="","",IFERROR(INDEX(สินค้า!$B$2:$B$101,MATCH(B321,สินค้า!$A$2:$A$101,0)),"ไม่พบรหัส"))</f>
        <v/>
      </c>
      <c r="D321" s="14" t="str">
        <f aca="false">IF(B321="","",IFERROR(INDEX(สินค้า!$D$2:$D$101,MATCH(B321,สินค้า!$A$2:$A$101,0)),""))</f>
        <v/>
      </c>
      <c r="E321" s="6"/>
      <c r="F321" s="8"/>
      <c r="G321" s="8"/>
      <c r="H321" s="8"/>
      <c r="I321" s="15"/>
      <c r="J321" s="15"/>
      <c r="K321" s="10" t="str">
        <f aca="false">IF(J321&lt;&gt;"",J321,IF(I321="","",I321*IFERROR(INDEX(สินค้า!$G$2:$G$101,MATCH(B321,สินค้า!$A$2:$A$101,0)),0)))</f>
        <v/>
      </c>
      <c r="L321" s="16" t="str">
        <f aca="false">IF(OR(F321="",F321=0,G321=""),"",G321/F321)</f>
        <v/>
      </c>
      <c r="M321" s="16" t="str">
        <f aca="false">IF(OR(G321="",G321=0,H321=""),"",H321/G321)</f>
        <v/>
      </c>
    </row>
    <row r="322" customFormat="false" ht="15" hidden="false" customHeight="false" outlineLevel="0" collapsed="false">
      <c r="A322" s="12"/>
      <c r="B322" s="6"/>
      <c r="C322" s="13" t="str">
        <f aca="false">IF(B322="","",IFERROR(INDEX(สินค้า!$B$2:$B$101,MATCH(B322,สินค้า!$A$2:$A$101,0)),"ไม่พบรหัส"))</f>
        <v/>
      </c>
      <c r="D322" s="14" t="str">
        <f aca="false">IF(B322="","",IFERROR(INDEX(สินค้า!$D$2:$D$101,MATCH(B322,สินค้า!$A$2:$A$101,0)),""))</f>
        <v/>
      </c>
      <c r="E322" s="6"/>
      <c r="F322" s="8"/>
      <c r="G322" s="8"/>
      <c r="H322" s="8"/>
      <c r="I322" s="15"/>
      <c r="J322" s="15"/>
      <c r="K322" s="10" t="str">
        <f aca="false">IF(J322&lt;&gt;"",J322,IF(I322="","",I322*IFERROR(INDEX(สินค้า!$G$2:$G$101,MATCH(B322,สินค้า!$A$2:$A$101,0)),0)))</f>
        <v/>
      </c>
      <c r="L322" s="16" t="str">
        <f aca="false">IF(OR(F322="",F322=0,G322=""),"",G322/F322)</f>
        <v/>
      </c>
      <c r="M322" s="16" t="str">
        <f aca="false">IF(OR(G322="",G322=0,H322=""),"",H322/G322)</f>
        <v/>
      </c>
    </row>
    <row r="323" customFormat="false" ht="15" hidden="false" customHeight="false" outlineLevel="0" collapsed="false">
      <c r="A323" s="12"/>
      <c r="B323" s="6"/>
      <c r="C323" s="13" t="str">
        <f aca="false">IF(B323="","",IFERROR(INDEX(สินค้า!$B$2:$B$101,MATCH(B323,สินค้า!$A$2:$A$101,0)),"ไม่พบรหัส"))</f>
        <v/>
      </c>
      <c r="D323" s="14" t="str">
        <f aca="false">IF(B323="","",IFERROR(INDEX(สินค้า!$D$2:$D$101,MATCH(B323,สินค้า!$A$2:$A$101,0)),""))</f>
        <v/>
      </c>
      <c r="E323" s="6"/>
      <c r="F323" s="8"/>
      <c r="G323" s="8"/>
      <c r="H323" s="8"/>
      <c r="I323" s="15"/>
      <c r="J323" s="15"/>
      <c r="K323" s="10" t="str">
        <f aca="false">IF(J323&lt;&gt;"",J323,IF(I323="","",I323*IFERROR(INDEX(สินค้า!$G$2:$G$101,MATCH(B323,สินค้า!$A$2:$A$101,0)),0)))</f>
        <v/>
      </c>
      <c r="L323" s="16" t="str">
        <f aca="false">IF(OR(F323="",F323=0,G323=""),"",G323/F323)</f>
        <v/>
      </c>
      <c r="M323" s="16" t="str">
        <f aca="false">IF(OR(G323="",G323=0,H323=""),"",H323/G323)</f>
        <v/>
      </c>
    </row>
    <row r="324" customFormat="false" ht="15" hidden="false" customHeight="false" outlineLevel="0" collapsed="false">
      <c r="A324" s="12"/>
      <c r="B324" s="6"/>
      <c r="C324" s="13" t="str">
        <f aca="false">IF(B324="","",IFERROR(INDEX(สินค้า!$B$2:$B$101,MATCH(B324,สินค้า!$A$2:$A$101,0)),"ไม่พบรหัส"))</f>
        <v/>
      </c>
      <c r="D324" s="14" t="str">
        <f aca="false">IF(B324="","",IFERROR(INDEX(สินค้า!$D$2:$D$101,MATCH(B324,สินค้า!$A$2:$A$101,0)),""))</f>
        <v/>
      </c>
      <c r="E324" s="6"/>
      <c r="F324" s="8"/>
      <c r="G324" s="8"/>
      <c r="H324" s="8"/>
      <c r="I324" s="15"/>
      <c r="J324" s="15"/>
      <c r="K324" s="10" t="str">
        <f aca="false">IF(J324&lt;&gt;"",J324,IF(I324="","",I324*IFERROR(INDEX(สินค้า!$G$2:$G$101,MATCH(B324,สินค้า!$A$2:$A$101,0)),0)))</f>
        <v/>
      </c>
      <c r="L324" s="16" t="str">
        <f aca="false">IF(OR(F324="",F324=0,G324=""),"",G324/F324)</f>
        <v/>
      </c>
      <c r="M324" s="16" t="str">
        <f aca="false">IF(OR(G324="",G324=0,H324=""),"",H324/G324)</f>
        <v/>
      </c>
    </row>
    <row r="325" customFormat="false" ht="15" hidden="false" customHeight="false" outlineLevel="0" collapsed="false">
      <c r="A325" s="12"/>
      <c r="B325" s="6"/>
      <c r="C325" s="13" t="str">
        <f aca="false">IF(B325="","",IFERROR(INDEX(สินค้า!$B$2:$B$101,MATCH(B325,สินค้า!$A$2:$A$101,0)),"ไม่พบรหัส"))</f>
        <v/>
      </c>
      <c r="D325" s="14" t="str">
        <f aca="false">IF(B325="","",IFERROR(INDEX(สินค้า!$D$2:$D$101,MATCH(B325,สินค้า!$A$2:$A$101,0)),""))</f>
        <v/>
      </c>
      <c r="E325" s="6"/>
      <c r="F325" s="8"/>
      <c r="G325" s="8"/>
      <c r="H325" s="8"/>
      <c r="I325" s="15"/>
      <c r="J325" s="15"/>
      <c r="K325" s="10" t="str">
        <f aca="false">IF(J325&lt;&gt;"",J325,IF(I325="","",I325*IFERROR(INDEX(สินค้า!$G$2:$G$101,MATCH(B325,สินค้า!$A$2:$A$101,0)),0)))</f>
        <v/>
      </c>
      <c r="L325" s="16" t="str">
        <f aca="false">IF(OR(F325="",F325=0,G325=""),"",G325/F325)</f>
        <v/>
      </c>
      <c r="M325" s="16" t="str">
        <f aca="false">IF(OR(G325="",G325=0,H325=""),"",H325/G325)</f>
        <v/>
      </c>
    </row>
    <row r="326" customFormat="false" ht="15" hidden="false" customHeight="false" outlineLevel="0" collapsed="false">
      <c r="A326" s="12"/>
      <c r="B326" s="6"/>
      <c r="C326" s="13" t="str">
        <f aca="false">IF(B326="","",IFERROR(INDEX(สินค้า!$B$2:$B$101,MATCH(B326,สินค้า!$A$2:$A$101,0)),"ไม่พบรหัส"))</f>
        <v/>
      </c>
      <c r="D326" s="14" t="str">
        <f aca="false">IF(B326="","",IFERROR(INDEX(สินค้า!$D$2:$D$101,MATCH(B326,สินค้า!$A$2:$A$101,0)),""))</f>
        <v/>
      </c>
      <c r="E326" s="6"/>
      <c r="F326" s="8"/>
      <c r="G326" s="8"/>
      <c r="H326" s="8"/>
      <c r="I326" s="15"/>
      <c r="J326" s="15"/>
      <c r="K326" s="10" t="str">
        <f aca="false">IF(J326&lt;&gt;"",J326,IF(I326="","",I326*IFERROR(INDEX(สินค้า!$G$2:$G$101,MATCH(B326,สินค้า!$A$2:$A$101,0)),0)))</f>
        <v/>
      </c>
      <c r="L326" s="16" t="str">
        <f aca="false">IF(OR(F326="",F326=0,G326=""),"",G326/F326)</f>
        <v/>
      </c>
      <c r="M326" s="16" t="str">
        <f aca="false">IF(OR(G326="",G326=0,H326=""),"",H326/G326)</f>
        <v/>
      </c>
    </row>
    <row r="327" customFormat="false" ht="15" hidden="false" customHeight="false" outlineLevel="0" collapsed="false">
      <c r="A327" s="12"/>
      <c r="B327" s="6"/>
      <c r="C327" s="13" t="str">
        <f aca="false">IF(B327="","",IFERROR(INDEX(สินค้า!$B$2:$B$101,MATCH(B327,สินค้า!$A$2:$A$101,0)),"ไม่พบรหัส"))</f>
        <v/>
      </c>
      <c r="D327" s="14" t="str">
        <f aca="false">IF(B327="","",IFERROR(INDEX(สินค้า!$D$2:$D$101,MATCH(B327,สินค้า!$A$2:$A$101,0)),""))</f>
        <v/>
      </c>
      <c r="E327" s="6"/>
      <c r="F327" s="8"/>
      <c r="G327" s="8"/>
      <c r="H327" s="8"/>
      <c r="I327" s="15"/>
      <c r="J327" s="15"/>
      <c r="K327" s="10" t="str">
        <f aca="false">IF(J327&lt;&gt;"",J327,IF(I327="","",I327*IFERROR(INDEX(สินค้า!$G$2:$G$101,MATCH(B327,สินค้า!$A$2:$A$101,0)),0)))</f>
        <v/>
      </c>
      <c r="L327" s="16" t="str">
        <f aca="false">IF(OR(F327="",F327=0,G327=""),"",G327/F327)</f>
        <v/>
      </c>
      <c r="M327" s="16" t="str">
        <f aca="false">IF(OR(G327="",G327=0,H327=""),"",H327/G327)</f>
        <v/>
      </c>
    </row>
    <row r="328" customFormat="false" ht="15" hidden="false" customHeight="false" outlineLevel="0" collapsed="false">
      <c r="A328" s="12"/>
      <c r="B328" s="6"/>
      <c r="C328" s="13" t="str">
        <f aca="false">IF(B328="","",IFERROR(INDEX(สินค้า!$B$2:$B$101,MATCH(B328,สินค้า!$A$2:$A$101,0)),"ไม่พบรหัส"))</f>
        <v/>
      </c>
      <c r="D328" s="14" t="str">
        <f aca="false">IF(B328="","",IFERROR(INDEX(สินค้า!$D$2:$D$101,MATCH(B328,สินค้า!$A$2:$A$101,0)),""))</f>
        <v/>
      </c>
      <c r="E328" s="6"/>
      <c r="F328" s="8"/>
      <c r="G328" s="8"/>
      <c r="H328" s="8"/>
      <c r="I328" s="15"/>
      <c r="J328" s="15"/>
      <c r="K328" s="10" t="str">
        <f aca="false">IF(J328&lt;&gt;"",J328,IF(I328="","",I328*IFERROR(INDEX(สินค้า!$G$2:$G$101,MATCH(B328,สินค้า!$A$2:$A$101,0)),0)))</f>
        <v/>
      </c>
      <c r="L328" s="16" t="str">
        <f aca="false">IF(OR(F328="",F328=0,G328=""),"",G328/F328)</f>
        <v/>
      </c>
      <c r="M328" s="16" t="str">
        <f aca="false">IF(OR(G328="",G328=0,H328=""),"",H328/G328)</f>
        <v/>
      </c>
    </row>
    <row r="329" customFormat="false" ht="15" hidden="false" customHeight="false" outlineLevel="0" collapsed="false">
      <c r="A329" s="12"/>
      <c r="B329" s="6"/>
      <c r="C329" s="13" t="str">
        <f aca="false">IF(B329="","",IFERROR(INDEX(สินค้า!$B$2:$B$101,MATCH(B329,สินค้า!$A$2:$A$101,0)),"ไม่พบรหัส"))</f>
        <v/>
      </c>
      <c r="D329" s="14" t="str">
        <f aca="false">IF(B329="","",IFERROR(INDEX(สินค้า!$D$2:$D$101,MATCH(B329,สินค้า!$A$2:$A$101,0)),""))</f>
        <v/>
      </c>
      <c r="E329" s="6"/>
      <c r="F329" s="8"/>
      <c r="G329" s="8"/>
      <c r="H329" s="8"/>
      <c r="I329" s="15"/>
      <c r="J329" s="15"/>
      <c r="K329" s="10" t="str">
        <f aca="false">IF(J329&lt;&gt;"",J329,IF(I329="","",I329*IFERROR(INDEX(สินค้า!$G$2:$G$101,MATCH(B329,สินค้า!$A$2:$A$101,0)),0)))</f>
        <v/>
      </c>
      <c r="L329" s="16" t="str">
        <f aca="false">IF(OR(F329="",F329=0,G329=""),"",G329/F329)</f>
        <v/>
      </c>
      <c r="M329" s="16" t="str">
        <f aca="false">IF(OR(G329="",G329=0,H329=""),"",H329/G329)</f>
        <v/>
      </c>
    </row>
    <row r="330" customFormat="false" ht="15" hidden="false" customHeight="false" outlineLevel="0" collapsed="false">
      <c r="A330" s="12"/>
      <c r="B330" s="6"/>
      <c r="C330" s="13" t="str">
        <f aca="false">IF(B330="","",IFERROR(INDEX(สินค้า!$B$2:$B$101,MATCH(B330,สินค้า!$A$2:$A$101,0)),"ไม่พบรหัส"))</f>
        <v/>
      </c>
      <c r="D330" s="14" t="str">
        <f aca="false">IF(B330="","",IFERROR(INDEX(สินค้า!$D$2:$D$101,MATCH(B330,สินค้า!$A$2:$A$101,0)),""))</f>
        <v/>
      </c>
      <c r="E330" s="6"/>
      <c r="F330" s="8"/>
      <c r="G330" s="8"/>
      <c r="H330" s="8"/>
      <c r="I330" s="15"/>
      <c r="J330" s="15"/>
      <c r="K330" s="10" t="str">
        <f aca="false">IF(J330&lt;&gt;"",J330,IF(I330="","",I330*IFERROR(INDEX(สินค้า!$G$2:$G$101,MATCH(B330,สินค้า!$A$2:$A$101,0)),0)))</f>
        <v/>
      </c>
      <c r="L330" s="16" t="str">
        <f aca="false">IF(OR(F330="",F330=0,G330=""),"",G330/F330)</f>
        <v/>
      </c>
      <c r="M330" s="16" t="str">
        <f aca="false">IF(OR(G330="",G330=0,H330=""),"",H330/G330)</f>
        <v/>
      </c>
    </row>
    <row r="331" customFormat="false" ht="15" hidden="false" customHeight="false" outlineLevel="0" collapsed="false">
      <c r="A331" s="12"/>
      <c r="B331" s="6"/>
      <c r="C331" s="13" t="str">
        <f aca="false">IF(B331="","",IFERROR(INDEX(สินค้า!$B$2:$B$101,MATCH(B331,สินค้า!$A$2:$A$101,0)),"ไม่พบรหัส"))</f>
        <v/>
      </c>
      <c r="D331" s="14" t="str">
        <f aca="false">IF(B331="","",IFERROR(INDEX(สินค้า!$D$2:$D$101,MATCH(B331,สินค้า!$A$2:$A$101,0)),""))</f>
        <v/>
      </c>
      <c r="E331" s="6"/>
      <c r="F331" s="8"/>
      <c r="G331" s="8"/>
      <c r="H331" s="8"/>
      <c r="I331" s="15"/>
      <c r="J331" s="15"/>
      <c r="K331" s="10" t="str">
        <f aca="false">IF(J331&lt;&gt;"",J331,IF(I331="","",I331*IFERROR(INDEX(สินค้า!$G$2:$G$101,MATCH(B331,สินค้า!$A$2:$A$101,0)),0)))</f>
        <v/>
      </c>
      <c r="L331" s="16" t="str">
        <f aca="false">IF(OR(F331="",F331=0,G331=""),"",G331/F331)</f>
        <v/>
      </c>
      <c r="M331" s="16" t="str">
        <f aca="false">IF(OR(G331="",G331=0,H331=""),"",H331/G331)</f>
        <v/>
      </c>
    </row>
    <row r="332" customFormat="false" ht="15" hidden="false" customHeight="false" outlineLevel="0" collapsed="false">
      <c r="A332" s="12"/>
      <c r="B332" s="6"/>
      <c r="C332" s="13" t="str">
        <f aca="false">IF(B332="","",IFERROR(INDEX(สินค้า!$B$2:$B$101,MATCH(B332,สินค้า!$A$2:$A$101,0)),"ไม่พบรหัส"))</f>
        <v/>
      </c>
      <c r="D332" s="14" t="str">
        <f aca="false">IF(B332="","",IFERROR(INDEX(สินค้า!$D$2:$D$101,MATCH(B332,สินค้า!$A$2:$A$101,0)),""))</f>
        <v/>
      </c>
      <c r="E332" s="6"/>
      <c r="F332" s="8"/>
      <c r="G332" s="8"/>
      <c r="H332" s="8"/>
      <c r="I332" s="15"/>
      <c r="J332" s="15"/>
      <c r="K332" s="10" t="str">
        <f aca="false">IF(J332&lt;&gt;"",J332,IF(I332="","",I332*IFERROR(INDEX(สินค้า!$G$2:$G$101,MATCH(B332,สินค้า!$A$2:$A$101,0)),0)))</f>
        <v/>
      </c>
      <c r="L332" s="16" t="str">
        <f aca="false">IF(OR(F332="",F332=0,G332=""),"",G332/F332)</f>
        <v/>
      </c>
      <c r="M332" s="16" t="str">
        <f aca="false">IF(OR(G332="",G332=0,H332=""),"",H332/G332)</f>
        <v/>
      </c>
    </row>
    <row r="333" customFormat="false" ht="15" hidden="false" customHeight="false" outlineLevel="0" collapsed="false">
      <c r="A333" s="12"/>
      <c r="B333" s="6"/>
      <c r="C333" s="13" t="str">
        <f aca="false">IF(B333="","",IFERROR(INDEX(สินค้า!$B$2:$B$101,MATCH(B333,สินค้า!$A$2:$A$101,0)),"ไม่พบรหัส"))</f>
        <v/>
      </c>
      <c r="D333" s="14" t="str">
        <f aca="false">IF(B333="","",IFERROR(INDEX(สินค้า!$D$2:$D$101,MATCH(B333,สินค้า!$A$2:$A$101,0)),""))</f>
        <v/>
      </c>
      <c r="E333" s="6"/>
      <c r="F333" s="8"/>
      <c r="G333" s="8"/>
      <c r="H333" s="8"/>
      <c r="I333" s="15"/>
      <c r="J333" s="15"/>
      <c r="K333" s="10" t="str">
        <f aca="false">IF(J333&lt;&gt;"",J333,IF(I333="","",I333*IFERROR(INDEX(สินค้า!$G$2:$G$101,MATCH(B333,สินค้า!$A$2:$A$101,0)),0)))</f>
        <v/>
      </c>
      <c r="L333" s="16" t="str">
        <f aca="false">IF(OR(F333="",F333=0,G333=""),"",G333/F333)</f>
        <v/>
      </c>
      <c r="M333" s="16" t="str">
        <f aca="false">IF(OR(G333="",G333=0,H333=""),"",H333/G333)</f>
        <v/>
      </c>
    </row>
    <row r="334" customFormat="false" ht="15" hidden="false" customHeight="false" outlineLevel="0" collapsed="false">
      <c r="A334" s="12"/>
      <c r="B334" s="6"/>
      <c r="C334" s="13" t="str">
        <f aca="false">IF(B334="","",IFERROR(INDEX(สินค้า!$B$2:$B$101,MATCH(B334,สินค้า!$A$2:$A$101,0)),"ไม่พบรหัส"))</f>
        <v/>
      </c>
      <c r="D334" s="14" t="str">
        <f aca="false">IF(B334="","",IFERROR(INDEX(สินค้า!$D$2:$D$101,MATCH(B334,สินค้า!$A$2:$A$101,0)),""))</f>
        <v/>
      </c>
      <c r="E334" s="6"/>
      <c r="F334" s="8"/>
      <c r="G334" s="8"/>
      <c r="H334" s="8"/>
      <c r="I334" s="15"/>
      <c r="J334" s="15"/>
      <c r="K334" s="10" t="str">
        <f aca="false">IF(J334&lt;&gt;"",J334,IF(I334="","",I334*IFERROR(INDEX(สินค้า!$G$2:$G$101,MATCH(B334,สินค้า!$A$2:$A$101,0)),0)))</f>
        <v/>
      </c>
      <c r="L334" s="16" t="str">
        <f aca="false">IF(OR(F334="",F334=0,G334=""),"",G334/F334)</f>
        <v/>
      </c>
      <c r="M334" s="16" t="str">
        <f aca="false">IF(OR(G334="",G334=0,H334=""),"",H334/G334)</f>
        <v/>
      </c>
    </row>
    <row r="335" customFormat="false" ht="15" hidden="false" customHeight="false" outlineLevel="0" collapsed="false">
      <c r="A335" s="12"/>
      <c r="B335" s="6"/>
      <c r="C335" s="13" t="str">
        <f aca="false">IF(B335="","",IFERROR(INDEX(สินค้า!$B$2:$B$101,MATCH(B335,สินค้า!$A$2:$A$101,0)),"ไม่พบรหัส"))</f>
        <v/>
      </c>
      <c r="D335" s="14" t="str">
        <f aca="false">IF(B335="","",IFERROR(INDEX(สินค้า!$D$2:$D$101,MATCH(B335,สินค้า!$A$2:$A$101,0)),""))</f>
        <v/>
      </c>
      <c r="E335" s="6"/>
      <c r="F335" s="8"/>
      <c r="G335" s="8"/>
      <c r="H335" s="8"/>
      <c r="I335" s="15"/>
      <c r="J335" s="15"/>
      <c r="K335" s="10" t="str">
        <f aca="false">IF(J335&lt;&gt;"",J335,IF(I335="","",I335*IFERROR(INDEX(สินค้า!$G$2:$G$101,MATCH(B335,สินค้า!$A$2:$A$101,0)),0)))</f>
        <v/>
      </c>
      <c r="L335" s="16" t="str">
        <f aca="false">IF(OR(F335="",F335=0,G335=""),"",G335/F335)</f>
        <v/>
      </c>
      <c r="M335" s="16" t="str">
        <f aca="false">IF(OR(G335="",G335=0,H335=""),"",H335/G335)</f>
        <v/>
      </c>
    </row>
    <row r="336" customFormat="false" ht="15" hidden="false" customHeight="false" outlineLevel="0" collapsed="false">
      <c r="A336" s="12"/>
      <c r="B336" s="6"/>
      <c r="C336" s="13" t="str">
        <f aca="false">IF(B336="","",IFERROR(INDEX(สินค้า!$B$2:$B$101,MATCH(B336,สินค้า!$A$2:$A$101,0)),"ไม่พบรหัส"))</f>
        <v/>
      </c>
      <c r="D336" s="14" t="str">
        <f aca="false">IF(B336="","",IFERROR(INDEX(สินค้า!$D$2:$D$101,MATCH(B336,สินค้า!$A$2:$A$101,0)),""))</f>
        <v/>
      </c>
      <c r="E336" s="6"/>
      <c r="F336" s="8"/>
      <c r="G336" s="8"/>
      <c r="H336" s="8"/>
      <c r="I336" s="15"/>
      <c r="J336" s="15"/>
      <c r="K336" s="10" t="str">
        <f aca="false">IF(J336&lt;&gt;"",J336,IF(I336="","",I336*IFERROR(INDEX(สินค้า!$G$2:$G$101,MATCH(B336,สินค้า!$A$2:$A$101,0)),0)))</f>
        <v/>
      </c>
      <c r="L336" s="16" t="str">
        <f aca="false">IF(OR(F336="",F336=0,G336=""),"",G336/F336)</f>
        <v/>
      </c>
      <c r="M336" s="16" t="str">
        <f aca="false">IF(OR(G336="",G336=0,H336=""),"",H336/G336)</f>
        <v/>
      </c>
    </row>
    <row r="337" customFormat="false" ht="15" hidden="false" customHeight="false" outlineLevel="0" collapsed="false">
      <c r="A337" s="12"/>
      <c r="B337" s="6"/>
      <c r="C337" s="13" t="str">
        <f aca="false">IF(B337="","",IFERROR(INDEX(สินค้า!$B$2:$B$101,MATCH(B337,สินค้า!$A$2:$A$101,0)),"ไม่พบรหัส"))</f>
        <v/>
      </c>
      <c r="D337" s="14" t="str">
        <f aca="false">IF(B337="","",IFERROR(INDEX(สินค้า!$D$2:$D$101,MATCH(B337,สินค้า!$A$2:$A$101,0)),""))</f>
        <v/>
      </c>
      <c r="E337" s="6"/>
      <c r="F337" s="8"/>
      <c r="G337" s="8"/>
      <c r="H337" s="8"/>
      <c r="I337" s="15"/>
      <c r="J337" s="15"/>
      <c r="K337" s="10" t="str">
        <f aca="false">IF(J337&lt;&gt;"",J337,IF(I337="","",I337*IFERROR(INDEX(สินค้า!$G$2:$G$101,MATCH(B337,สินค้า!$A$2:$A$101,0)),0)))</f>
        <v/>
      </c>
      <c r="L337" s="16" t="str">
        <f aca="false">IF(OR(F337="",F337=0,G337=""),"",G337/F337)</f>
        <v/>
      </c>
      <c r="M337" s="16" t="str">
        <f aca="false">IF(OR(G337="",G337=0,H337=""),"",H337/G337)</f>
        <v/>
      </c>
    </row>
    <row r="338" customFormat="false" ht="15" hidden="false" customHeight="false" outlineLevel="0" collapsed="false">
      <c r="A338" s="12"/>
      <c r="B338" s="6"/>
      <c r="C338" s="13" t="str">
        <f aca="false">IF(B338="","",IFERROR(INDEX(สินค้า!$B$2:$B$101,MATCH(B338,สินค้า!$A$2:$A$101,0)),"ไม่พบรหัส"))</f>
        <v/>
      </c>
      <c r="D338" s="14" t="str">
        <f aca="false">IF(B338="","",IFERROR(INDEX(สินค้า!$D$2:$D$101,MATCH(B338,สินค้า!$A$2:$A$101,0)),""))</f>
        <v/>
      </c>
      <c r="E338" s="6"/>
      <c r="F338" s="8"/>
      <c r="G338" s="8"/>
      <c r="H338" s="8"/>
      <c r="I338" s="15"/>
      <c r="J338" s="15"/>
      <c r="K338" s="10" t="str">
        <f aca="false">IF(J338&lt;&gt;"",J338,IF(I338="","",I338*IFERROR(INDEX(สินค้า!$G$2:$G$101,MATCH(B338,สินค้า!$A$2:$A$101,0)),0)))</f>
        <v/>
      </c>
      <c r="L338" s="16" t="str">
        <f aca="false">IF(OR(F338="",F338=0,G338=""),"",G338/F338)</f>
        <v/>
      </c>
      <c r="M338" s="16" t="str">
        <f aca="false">IF(OR(G338="",G338=0,H338=""),"",H338/G338)</f>
        <v/>
      </c>
    </row>
    <row r="339" customFormat="false" ht="15" hidden="false" customHeight="false" outlineLevel="0" collapsed="false">
      <c r="A339" s="12"/>
      <c r="B339" s="6"/>
      <c r="C339" s="13" t="str">
        <f aca="false">IF(B339="","",IFERROR(INDEX(สินค้า!$B$2:$B$101,MATCH(B339,สินค้า!$A$2:$A$101,0)),"ไม่พบรหัส"))</f>
        <v/>
      </c>
      <c r="D339" s="14" t="str">
        <f aca="false">IF(B339="","",IFERROR(INDEX(สินค้า!$D$2:$D$101,MATCH(B339,สินค้า!$A$2:$A$101,0)),""))</f>
        <v/>
      </c>
      <c r="E339" s="6"/>
      <c r="F339" s="8"/>
      <c r="G339" s="8"/>
      <c r="H339" s="8"/>
      <c r="I339" s="15"/>
      <c r="J339" s="15"/>
      <c r="K339" s="10" t="str">
        <f aca="false">IF(J339&lt;&gt;"",J339,IF(I339="","",I339*IFERROR(INDEX(สินค้า!$G$2:$G$101,MATCH(B339,สินค้า!$A$2:$A$101,0)),0)))</f>
        <v/>
      </c>
      <c r="L339" s="16" t="str">
        <f aca="false">IF(OR(F339="",F339=0,G339=""),"",G339/F339)</f>
        <v/>
      </c>
      <c r="M339" s="16" t="str">
        <f aca="false">IF(OR(G339="",G339=0,H339=""),"",H339/G339)</f>
        <v/>
      </c>
    </row>
    <row r="340" customFormat="false" ht="15" hidden="false" customHeight="false" outlineLevel="0" collapsed="false">
      <c r="A340" s="12"/>
      <c r="B340" s="6"/>
      <c r="C340" s="13" t="str">
        <f aca="false">IF(B340="","",IFERROR(INDEX(สินค้า!$B$2:$B$101,MATCH(B340,สินค้า!$A$2:$A$101,0)),"ไม่พบรหัส"))</f>
        <v/>
      </c>
      <c r="D340" s="14" t="str">
        <f aca="false">IF(B340="","",IFERROR(INDEX(สินค้า!$D$2:$D$101,MATCH(B340,สินค้า!$A$2:$A$101,0)),""))</f>
        <v/>
      </c>
      <c r="E340" s="6"/>
      <c r="F340" s="8"/>
      <c r="G340" s="8"/>
      <c r="H340" s="8"/>
      <c r="I340" s="15"/>
      <c r="J340" s="15"/>
      <c r="K340" s="10" t="str">
        <f aca="false">IF(J340&lt;&gt;"",J340,IF(I340="","",I340*IFERROR(INDEX(สินค้า!$G$2:$G$101,MATCH(B340,สินค้า!$A$2:$A$101,0)),0)))</f>
        <v/>
      </c>
      <c r="L340" s="16" t="str">
        <f aca="false">IF(OR(F340="",F340=0,G340=""),"",G340/F340)</f>
        <v/>
      </c>
      <c r="M340" s="16" t="str">
        <f aca="false">IF(OR(G340="",G340=0,H340=""),"",H340/G340)</f>
        <v/>
      </c>
    </row>
    <row r="341" customFormat="false" ht="15" hidden="false" customHeight="false" outlineLevel="0" collapsed="false">
      <c r="A341" s="12"/>
      <c r="B341" s="6"/>
      <c r="C341" s="13" t="str">
        <f aca="false">IF(B341="","",IFERROR(INDEX(สินค้า!$B$2:$B$101,MATCH(B341,สินค้า!$A$2:$A$101,0)),"ไม่พบรหัส"))</f>
        <v/>
      </c>
      <c r="D341" s="14" t="str">
        <f aca="false">IF(B341="","",IFERROR(INDEX(สินค้า!$D$2:$D$101,MATCH(B341,สินค้า!$A$2:$A$101,0)),""))</f>
        <v/>
      </c>
      <c r="E341" s="6"/>
      <c r="F341" s="8"/>
      <c r="G341" s="8"/>
      <c r="H341" s="8"/>
      <c r="I341" s="15"/>
      <c r="J341" s="15"/>
      <c r="K341" s="10" t="str">
        <f aca="false">IF(J341&lt;&gt;"",J341,IF(I341="","",I341*IFERROR(INDEX(สินค้า!$G$2:$G$101,MATCH(B341,สินค้า!$A$2:$A$101,0)),0)))</f>
        <v/>
      </c>
      <c r="L341" s="16" t="str">
        <f aca="false">IF(OR(F341="",F341=0,G341=""),"",G341/F341)</f>
        <v/>
      </c>
      <c r="M341" s="16" t="str">
        <f aca="false">IF(OR(G341="",G341=0,H341=""),"",H341/G341)</f>
        <v/>
      </c>
    </row>
    <row r="342" customFormat="false" ht="15" hidden="false" customHeight="false" outlineLevel="0" collapsed="false">
      <c r="A342" s="12"/>
      <c r="B342" s="6"/>
      <c r="C342" s="13" t="str">
        <f aca="false">IF(B342="","",IFERROR(INDEX(สินค้า!$B$2:$B$101,MATCH(B342,สินค้า!$A$2:$A$101,0)),"ไม่พบรหัส"))</f>
        <v/>
      </c>
      <c r="D342" s="14" t="str">
        <f aca="false">IF(B342="","",IFERROR(INDEX(สินค้า!$D$2:$D$101,MATCH(B342,สินค้า!$A$2:$A$101,0)),""))</f>
        <v/>
      </c>
      <c r="E342" s="6"/>
      <c r="F342" s="8"/>
      <c r="G342" s="8"/>
      <c r="H342" s="8"/>
      <c r="I342" s="15"/>
      <c r="J342" s="15"/>
      <c r="K342" s="10" t="str">
        <f aca="false">IF(J342&lt;&gt;"",J342,IF(I342="","",I342*IFERROR(INDEX(สินค้า!$G$2:$G$101,MATCH(B342,สินค้า!$A$2:$A$101,0)),0)))</f>
        <v/>
      </c>
      <c r="L342" s="16" t="str">
        <f aca="false">IF(OR(F342="",F342=0,G342=""),"",G342/F342)</f>
        <v/>
      </c>
      <c r="M342" s="16" t="str">
        <f aca="false">IF(OR(G342="",G342=0,H342=""),"",H342/G342)</f>
        <v/>
      </c>
    </row>
    <row r="343" customFormat="false" ht="15" hidden="false" customHeight="false" outlineLevel="0" collapsed="false">
      <c r="A343" s="12"/>
      <c r="B343" s="6"/>
      <c r="C343" s="13" t="str">
        <f aca="false">IF(B343="","",IFERROR(INDEX(สินค้า!$B$2:$B$101,MATCH(B343,สินค้า!$A$2:$A$101,0)),"ไม่พบรหัส"))</f>
        <v/>
      </c>
      <c r="D343" s="14" t="str">
        <f aca="false">IF(B343="","",IFERROR(INDEX(สินค้า!$D$2:$D$101,MATCH(B343,สินค้า!$A$2:$A$101,0)),""))</f>
        <v/>
      </c>
      <c r="E343" s="6"/>
      <c r="F343" s="8"/>
      <c r="G343" s="8"/>
      <c r="H343" s="8"/>
      <c r="I343" s="15"/>
      <c r="J343" s="15"/>
      <c r="K343" s="10" t="str">
        <f aca="false">IF(J343&lt;&gt;"",J343,IF(I343="","",I343*IFERROR(INDEX(สินค้า!$G$2:$G$101,MATCH(B343,สินค้า!$A$2:$A$101,0)),0)))</f>
        <v/>
      </c>
      <c r="L343" s="16" t="str">
        <f aca="false">IF(OR(F343="",F343=0,G343=""),"",G343/F343)</f>
        <v/>
      </c>
      <c r="M343" s="16" t="str">
        <f aca="false">IF(OR(G343="",G343=0,H343=""),"",H343/G343)</f>
        <v/>
      </c>
    </row>
    <row r="344" customFormat="false" ht="15" hidden="false" customHeight="false" outlineLevel="0" collapsed="false">
      <c r="A344" s="12"/>
      <c r="B344" s="6"/>
      <c r="C344" s="13" t="str">
        <f aca="false">IF(B344="","",IFERROR(INDEX(สินค้า!$B$2:$B$101,MATCH(B344,สินค้า!$A$2:$A$101,0)),"ไม่พบรหัส"))</f>
        <v/>
      </c>
      <c r="D344" s="14" t="str">
        <f aca="false">IF(B344="","",IFERROR(INDEX(สินค้า!$D$2:$D$101,MATCH(B344,สินค้า!$A$2:$A$101,0)),""))</f>
        <v/>
      </c>
      <c r="E344" s="6"/>
      <c r="F344" s="8"/>
      <c r="G344" s="8"/>
      <c r="H344" s="8"/>
      <c r="I344" s="15"/>
      <c r="J344" s="15"/>
      <c r="K344" s="10" t="str">
        <f aca="false">IF(J344&lt;&gt;"",J344,IF(I344="","",I344*IFERROR(INDEX(สินค้า!$G$2:$G$101,MATCH(B344,สินค้า!$A$2:$A$101,0)),0)))</f>
        <v/>
      </c>
      <c r="L344" s="16" t="str">
        <f aca="false">IF(OR(F344="",F344=0,G344=""),"",G344/F344)</f>
        <v/>
      </c>
      <c r="M344" s="16" t="str">
        <f aca="false">IF(OR(G344="",G344=0,H344=""),"",H344/G344)</f>
        <v/>
      </c>
    </row>
    <row r="345" customFormat="false" ht="15" hidden="false" customHeight="false" outlineLevel="0" collapsed="false">
      <c r="A345" s="12"/>
      <c r="B345" s="6"/>
      <c r="C345" s="13" t="str">
        <f aca="false">IF(B345="","",IFERROR(INDEX(สินค้า!$B$2:$B$101,MATCH(B345,สินค้า!$A$2:$A$101,0)),"ไม่พบรหัส"))</f>
        <v/>
      </c>
      <c r="D345" s="14" t="str">
        <f aca="false">IF(B345="","",IFERROR(INDEX(สินค้า!$D$2:$D$101,MATCH(B345,สินค้า!$A$2:$A$101,0)),""))</f>
        <v/>
      </c>
      <c r="E345" s="6"/>
      <c r="F345" s="8"/>
      <c r="G345" s="8"/>
      <c r="H345" s="8"/>
      <c r="I345" s="15"/>
      <c r="J345" s="15"/>
      <c r="K345" s="10" t="str">
        <f aca="false">IF(J345&lt;&gt;"",J345,IF(I345="","",I345*IFERROR(INDEX(สินค้า!$G$2:$G$101,MATCH(B345,สินค้า!$A$2:$A$101,0)),0)))</f>
        <v/>
      </c>
      <c r="L345" s="16" t="str">
        <f aca="false">IF(OR(F345="",F345=0,G345=""),"",G345/F345)</f>
        <v/>
      </c>
      <c r="M345" s="16" t="str">
        <f aca="false">IF(OR(G345="",G345=0,H345=""),"",H345/G345)</f>
        <v/>
      </c>
    </row>
    <row r="346" customFormat="false" ht="15" hidden="false" customHeight="false" outlineLevel="0" collapsed="false">
      <c r="A346" s="12"/>
      <c r="B346" s="6"/>
      <c r="C346" s="13" t="str">
        <f aca="false">IF(B346="","",IFERROR(INDEX(สินค้า!$B$2:$B$101,MATCH(B346,สินค้า!$A$2:$A$101,0)),"ไม่พบรหัส"))</f>
        <v/>
      </c>
      <c r="D346" s="14" t="str">
        <f aca="false">IF(B346="","",IFERROR(INDEX(สินค้า!$D$2:$D$101,MATCH(B346,สินค้า!$A$2:$A$101,0)),""))</f>
        <v/>
      </c>
      <c r="E346" s="6"/>
      <c r="F346" s="8"/>
      <c r="G346" s="8"/>
      <c r="H346" s="8"/>
      <c r="I346" s="15"/>
      <c r="J346" s="15"/>
      <c r="K346" s="10" t="str">
        <f aca="false">IF(J346&lt;&gt;"",J346,IF(I346="","",I346*IFERROR(INDEX(สินค้า!$G$2:$G$101,MATCH(B346,สินค้า!$A$2:$A$101,0)),0)))</f>
        <v/>
      </c>
      <c r="L346" s="16" t="str">
        <f aca="false">IF(OR(F346="",F346=0,G346=""),"",G346/F346)</f>
        <v/>
      </c>
      <c r="M346" s="16" t="str">
        <f aca="false">IF(OR(G346="",G346=0,H346=""),"",H346/G346)</f>
        <v/>
      </c>
    </row>
    <row r="347" customFormat="false" ht="15" hidden="false" customHeight="false" outlineLevel="0" collapsed="false">
      <c r="A347" s="12"/>
      <c r="B347" s="6"/>
      <c r="C347" s="13" t="str">
        <f aca="false">IF(B347="","",IFERROR(INDEX(สินค้า!$B$2:$B$101,MATCH(B347,สินค้า!$A$2:$A$101,0)),"ไม่พบรหัส"))</f>
        <v/>
      </c>
      <c r="D347" s="14" t="str">
        <f aca="false">IF(B347="","",IFERROR(INDEX(สินค้า!$D$2:$D$101,MATCH(B347,สินค้า!$A$2:$A$101,0)),""))</f>
        <v/>
      </c>
      <c r="E347" s="6"/>
      <c r="F347" s="8"/>
      <c r="G347" s="8"/>
      <c r="H347" s="8"/>
      <c r="I347" s="15"/>
      <c r="J347" s="15"/>
      <c r="K347" s="10" t="str">
        <f aca="false">IF(J347&lt;&gt;"",J347,IF(I347="","",I347*IFERROR(INDEX(สินค้า!$G$2:$G$101,MATCH(B347,สินค้า!$A$2:$A$101,0)),0)))</f>
        <v/>
      </c>
      <c r="L347" s="16" t="str">
        <f aca="false">IF(OR(F347="",F347=0,G347=""),"",G347/F347)</f>
        <v/>
      </c>
      <c r="M347" s="16" t="str">
        <f aca="false">IF(OR(G347="",G347=0,H347=""),"",H347/G347)</f>
        <v/>
      </c>
    </row>
    <row r="348" customFormat="false" ht="15" hidden="false" customHeight="false" outlineLevel="0" collapsed="false">
      <c r="A348" s="12"/>
      <c r="B348" s="6"/>
      <c r="C348" s="13" t="str">
        <f aca="false">IF(B348="","",IFERROR(INDEX(สินค้า!$B$2:$B$101,MATCH(B348,สินค้า!$A$2:$A$101,0)),"ไม่พบรหัส"))</f>
        <v/>
      </c>
      <c r="D348" s="14" t="str">
        <f aca="false">IF(B348="","",IFERROR(INDEX(สินค้า!$D$2:$D$101,MATCH(B348,สินค้า!$A$2:$A$101,0)),""))</f>
        <v/>
      </c>
      <c r="E348" s="6"/>
      <c r="F348" s="8"/>
      <c r="G348" s="8"/>
      <c r="H348" s="8"/>
      <c r="I348" s="15"/>
      <c r="J348" s="15"/>
      <c r="K348" s="10" t="str">
        <f aca="false">IF(J348&lt;&gt;"",J348,IF(I348="","",I348*IFERROR(INDEX(สินค้า!$G$2:$G$101,MATCH(B348,สินค้า!$A$2:$A$101,0)),0)))</f>
        <v/>
      </c>
      <c r="L348" s="16" t="str">
        <f aca="false">IF(OR(F348="",F348=0,G348=""),"",G348/F348)</f>
        <v/>
      </c>
      <c r="M348" s="16" t="str">
        <f aca="false">IF(OR(G348="",G348=0,H348=""),"",H348/G348)</f>
        <v/>
      </c>
    </row>
    <row r="349" customFormat="false" ht="15" hidden="false" customHeight="false" outlineLevel="0" collapsed="false">
      <c r="A349" s="12"/>
      <c r="B349" s="6"/>
      <c r="C349" s="13" t="str">
        <f aca="false">IF(B349="","",IFERROR(INDEX(สินค้า!$B$2:$B$101,MATCH(B349,สินค้า!$A$2:$A$101,0)),"ไม่พบรหัส"))</f>
        <v/>
      </c>
      <c r="D349" s="14" t="str">
        <f aca="false">IF(B349="","",IFERROR(INDEX(สินค้า!$D$2:$D$101,MATCH(B349,สินค้า!$A$2:$A$101,0)),""))</f>
        <v/>
      </c>
      <c r="E349" s="6"/>
      <c r="F349" s="8"/>
      <c r="G349" s="8"/>
      <c r="H349" s="8"/>
      <c r="I349" s="15"/>
      <c r="J349" s="15"/>
      <c r="K349" s="10" t="str">
        <f aca="false">IF(J349&lt;&gt;"",J349,IF(I349="","",I349*IFERROR(INDEX(สินค้า!$G$2:$G$101,MATCH(B349,สินค้า!$A$2:$A$101,0)),0)))</f>
        <v/>
      </c>
      <c r="L349" s="16" t="str">
        <f aca="false">IF(OR(F349="",F349=0,G349=""),"",G349/F349)</f>
        <v/>
      </c>
      <c r="M349" s="16" t="str">
        <f aca="false">IF(OR(G349="",G349=0,H349=""),"",H349/G349)</f>
        <v/>
      </c>
    </row>
    <row r="350" customFormat="false" ht="15" hidden="false" customHeight="false" outlineLevel="0" collapsed="false">
      <c r="A350" s="12"/>
      <c r="B350" s="6"/>
      <c r="C350" s="13" t="str">
        <f aca="false">IF(B350="","",IFERROR(INDEX(สินค้า!$B$2:$B$101,MATCH(B350,สินค้า!$A$2:$A$101,0)),"ไม่พบรหัส"))</f>
        <v/>
      </c>
      <c r="D350" s="14" t="str">
        <f aca="false">IF(B350="","",IFERROR(INDEX(สินค้า!$D$2:$D$101,MATCH(B350,สินค้า!$A$2:$A$101,0)),""))</f>
        <v/>
      </c>
      <c r="E350" s="6"/>
      <c r="F350" s="8"/>
      <c r="G350" s="8"/>
      <c r="H350" s="8"/>
      <c r="I350" s="15"/>
      <c r="J350" s="15"/>
      <c r="K350" s="10" t="str">
        <f aca="false">IF(J350&lt;&gt;"",J350,IF(I350="","",I350*IFERROR(INDEX(สินค้า!$G$2:$G$101,MATCH(B350,สินค้า!$A$2:$A$101,0)),0)))</f>
        <v/>
      </c>
      <c r="L350" s="16" t="str">
        <f aca="false">IF(OR(F350="",F350=0,G350=""),"",G350/F350)</f>
        <v/>
      </c>
      <c r="M350" s="16" t="str">
        <f aca="false">IF(OR(G350="",G350=0,H350=""),"",H350/G350)</f>
        <v/>
      </c>
    </row>
    <row r="351" customFormat="false" ht="15" hidden="false" customHeight="false" outlineLevel="0" collapsed="false">
      <c r="A351" s="12"/>
      <c r="B351" s="6"/>
      <c r="C351" s="13" t="str">
        <f aca="false">IF(B351="","",IFERROR(INDEX(สินค้า!$B$2:$B$101,MATCH(B351,สินค้า!$A$2:$A$101,0)),"ไม่พบรหัส"))</f>
        <v/>
      </c>
      <c r="D351" s="14" t="str">
        <f aca="false">IF(B351="","",IFERROR(INDEX(สินค้า!$D$2:$D$101,MATCH(B351,สินค้า!$A$2:$A$101,0)),""))</f>
        <v/>
      </c>
      <c r="E351" s="6"/>
      <c r="F351" s="8"/>
      <c r="G351" s="8"/>
      <c r="H351" s="8"/>
      <c r="I351" s="15"/>
      <c r="J351" s="15"/>
      <c r="K351" s="10" t="str">
        <f aca="false">IF(J351&lt;&gt;"",J351,IF(I351="","",I351*IFERROR(INDEX(สินค้า!$G$2:$G$101,MATCH(B351,สินค้า!$A$2:$A$101,0)),0)))</f>
        <v/>
      </c>
      <c r="L351" s="16" t="str">
        <f aca="false">IF(OR(F351="",F351=0,G351=""),"",G351/F351)</f>
        <v/>
      </c>
      <c r="M351" s="16" t="str">
        <f aca="false">IF(OR(G351="",G351=0,H351=""),"",H351/G351)</f>
        <v/>
      </c>
    </row>
    <row r="352" customFormat="false" ht="15" hidden="false" customHeight="false" outlineLevel="0" collapsed="false">
      <c r="A352" s="12"/>
      <c r="B352" s="6"/>
      <c r="C352" s="13" t="str">
        <f aca="false">IF(B352="","",IFERROR(INDEX(สินค้า!$B$2:$B$101,MATCH(B352,สินค้า!$A$2:$A$101,0)),"ไม่พบรหัส"))</f>
        <v/>
      </c>
      <c r="D352" s="14" t="str">
        <f aca="false">IF(B352="","",IFERROR(INDEX(สินค้า!$D$2:$D$101,MATCH(B352,สินค้า!$A$2:$A$101,0)),""))</f>
        <v/>
      </c>
      <c r="E352" s="6"/>
      <c r="F352" s="8"/>
      <c r="G352" s="8"/>
      <c r="H352" s="8"/>
      <c r="I352" s="15"/>
      <c r="J352" s="15"/>
      <c r="K352" s="10" t="str">
        <f aca="false">IF(J352&lt;&gt;"",J352,IF(I352="","",I352*IFERROR(INDEX(สินค้า!$G$2:$G$101,MATCH(B352,สินค้า!$A$2:$A$101,0)),0)))</f>
        <v/>
      </c>
      <c r="L352" s="16" t="str">
        <f aca="false">IF(OR(F352="",F352=0,G352=""),"",G352/F352)</f>
        <v/>
      </c>
      <c r="M352" s="16" t="str">
        <f aca="false">IF(OR(G352="",G352=0,H352=""),"",H352/G352)</f>
        <v/>
      </c>
    </row>
    <row r="353" customFormat="false" ht="15" hidden="false" customHeight="false" outlineLevel="0" collapsed="false">
      <c r="A353" s="12"/>
      <c r="B353" s="6"/>
      <c r="C353" s="13" t="str">
        <f aca="false">IF(B353="","",IFERROR(INDEX(สินค้า!$B$2:$B$101,MATCH(B353,สินค้า!$A$2:$A$101,0)),"ไม่พบรหัส"))</f>
        <v/>
      </c>
      <c r="D353" s="14" t="str">
        <f aca="false">IF(B353="","",IFERROR(INDEX(สินค้า!$D$2:$D$101,MATCH(B353,สินค้า!$A$2:$A$101,0)),""))</f>
        <v/>
      </c>
      <c r="E353" s="6"/>
      <c r="F353" s="8"/>
      <c r="G353" s="8"/>
      <c r="H353" s="8"/>
      <c r="I353" s="15"/>
      <c r="J353" s="15"/>
      <c r="K353" s="10" t="str">
        <f aca="false">IF(J353&lt;&gt;"",J353,IF(I353="","",I353*IFERROR(INDEX(สินค้า!$G$2:$G$101,MATCH(B353,สินค้า!$A$2:$A$101,0)),0)))</f>
        <v/>
      </c>
      <c r="L353" s="16" t="str">
        <f aca="false">IF(OR(F353="",F353=0,G353=""),"",G353/F353)</f>
        <v/>
      </c>
      <c r="M353" s="16" t="str">
        <f aca="false">IF(OR(G353="",G353=0,H353=""),"",H353/G353)</f>
        <v/>
      </c>
    </row>
    <row r="354" customFormat="false" ht="15" hidden="false" customHeight="false" outlineLevel="0" collapsed="false">
      <c r="A354" s="12"/>
      <c r="B354" s="6"/>
      <c r="C354" s="13" t="str">
        <f aca="false">IF(B354="","",IFERROR(INDEX(สินค้า!$B$2:$B$101,MATCH(B354,สินค้า!$A$2:$A$101,0)),"ไม่พบรหัส"))</f>
        <v/>
      </c>
      <c r="D354" s="14" t="str">
        <f aca="false">IF(B354="","",IFERROR(INDEX(สินค้า!$D$2:$D$101,MATCH(B354,สินค้า!$A$2:$A$101,0)),""))</f>
        <v/>
      </c>
      <c r="E354" s="6"/>
      <c r="F354" s="8"/>
      <c r="G354" s="8"/>
      <c r="H354" s="8"/>
      <c r="I354" s="15"/>
      <c r="J354" s="15"/>
      <c r="K354" s="10" t="str">
        <f aca="false">IF(J354&lt;&gt;"",J354,IF(I354="","",I354*IFERROR(INDEX(สินค้า!$G$2:$G$101,MATCH(B354,สินค้า!$A$2:$A$101,0)),0)))</f>
        <v/>
      </c>
      <c r="L354" s="16" t="str">
        <f aca="false">IF(OR(F354="",F354=0,G354=""),"",G354/F354)</f>
        <v/>
      </c>
      <c r="M354" s="16" t="str">
        <f aca="false">IF(OR(G354="",G354=0,H354=""),"",H354/G354)</f>
        <v/>
      </c>
    </row>
    <row r="355" customFormat="false" ht="15" hidden="false" customHeight="false" outlineLevel="0" collapsed="false">
      <c r="A355" s="12"/>
      <c r="B355" s="6"/>
      <c r="C355" s="13" t="str">
        <f aca="false">IF(B355="","",IFERROR(INDEX(สินค้า!$B$2:$B$101,MATCH(B355,สินค้า!$A$2:$A$101,0)),"ไม่พบรหัส"))</f>
        <v/>
      </c>
      <c r="D355" s="14" t="str">
        <f aca="false">IF(B355="","",IFERROR(INDEX(สินค้า!$D$2:$D$101,MATCH(B355,สินค้า!$A$2:$A$101,0)),""))</f>
        <v/>
      </c>
      <c r="E355" s="6"/>
      <c r="F355" s="8"/>
      <c r="G355" s="8"/>
      <c r="H355" s="8"/>
      <c r="I355" s="15"/>
      <c r="J355" s="15"/>
      <c r="K355" s="10" t="str">
        <f aca="false">IF(J355&lt;&gt;"",J355,IF(I355="","",I355*IFERROR(INDEX(สินค้า!$G$2:$G$101,MATCH(B355,สินค้า!$A$2:$A$101,0)),0)))</f>
        <v/>
      </c>
      <c r="L355" s="16" t="str">
        <f aca="false">IF(OR(F355="",F355=0,G355=""),"",G355/F355)</f>
        <v/>
      </c>
      <c r="M355" s="16" t="str">
        <f aca="false">IF(OR(G355="",G355=0,H355=""),"",H355/G355)</f>
        <v/>
      </c>
    </row>
    <row r="356" customFormat="false" ht="15" hidden="false" customHeight="false" outlineLevel="0" collapsed="false">
      <c r="A356" s="12"/>
      <c r="B356" s="6"/>
      <c r="C356" s="13" t="str">
        <f aca="false">IF(B356="","",IFERROR(INDEX(สินค้า!$B$2:$B$101,MATCH(B356,สินค้า!$A$2:$A$101,0)),"ไม่พบรหัส"))</f>
        <v/>
      </c>
      <c r="D356" s="14" t="str">
        <f aca="false">IF(B356="","",IFERROR(INDEX(สินค้า!$D$2:$D$101,MATCH(B356,สินค้า!$A$2:$A$101,0)),""))</f>
        <v/>
      </c>
      <c r="E356" s="6"/>
      <c r="F356" s="8"/>
      <c r="G356" s="8"/>
      <c r="H356" s="8"/>
      <c r="I356" s="15"/>
      <c r="J356" s="15"/>
      <c r="K356" s="10" t="str">
        <f aca="false">IF(J356&lt;&gt;"",J356,IF(I356="","",I356*IFERROR(INDEX(สินค้า!$G$2:$G$101,MATCH(B356,สินค้า!$A$2:$A$101,0)),0)))</f>
        <v/>
      </c>
      <c r="L356" s="16" t="str">
        <f aca="false">IF(OR(F356="",F356=0,G356=""),"",G356/F356)</f>
        <v/>
      </c>
      <c r="M356" s="16" t="str">
        <f aca="false">IF(OR(G356="",G356=0,H356=""),"",H356/G356)</f>
        <v/>
      </c>
    </row>
    <row r="357" customFormat="false" ht="15" hidden="false" customHeight="false" outlineLevel="0" collapsed="false">
      <c r="A357" s="12"/>
      <c r="B357" s="6"/>
      <c r="C357" s="13" t="str">
        <f aca="false">IF(B357="","",IFERROR(INDEX(สินค้า!$B$2:$B$101,MATCH(B357,สินค้า!$A$2:$A$101,0)),"ไม่พบรหัส"))</f>
        <v/>
      </c>
      <c r="D357" s="14" t="str">
        <f aca="false">IF(B357="","",IFERROR(INDEX(สินค้า!$D$2:$D$101,MATCH(B357,สินค้า!$A$2:$A$101,0)),""))</f>
        <v/>
      </c>
      <c r="E357" s="6"/>
      <c r="F357" s="8"/>
      <c r="G357" s="8"/>
      <c r="H357" s="8"/>
      <c r="I357" s="15"/>
      <c r="J357" s="15"/>
      <c r="K357" s="10" t="str">
        <f aca="false">IF(J357&lt;&gt;"",J357,IF(I357="","",I357*IFERROR(INDEX(สินค้า!$G$2:$G$101,MATCH(B357,สินค้า!$A$2:$A$101,0)),0)))</f>
        <v/>
      </c>
      <c r="L357" s="16" t="str">
        <f aca="false">IF(OR(F357="",F357=0,G357=""),"",G357/F357)</f>
        <v/>
      </c>
      <c r="M357" s="16" t="str">
        <f aca="false">IF(OR(G357="",G357=0,H357=""),"",H357/G357)</f>
        <v/>
      </c>
    </row>
    <row r="358" customFormat="false" ht="15" hidden="false" customHeight="false" outlineLevel="0" collapsed="false">
      <c r="A358" s="12"/>
      <c r="B358" s="6"/>
      <c r="C358" s="13" t="str">
        <f aca="false">IF(B358="","",IFERROR(INDEX(สินค้า!$B$2:$B$101,MATCH(B358,สินค้า!$A$2:$A$101,0)),"ไม่พบรหัส"))</f>
        <v/>
      </c>
      <c r="D358" s="14" t="str">
        <f aca="false">IF(B358="","",IFERROR(INDEX(สินค้า!$D$2:$D$101,MATCH(B358,สินค้า!$A$2:$A$101,0)),""))</f>
        <v/>
      </c>
      <c r="E358" s="6"/>
      <c r="F358" s="8"/>
      <c r="G358" s="8"/>
      <c r="H358" s="8"/>
      <c r="I358" s="15"/>
      <c r="J358" s="15"/>
      <c r="K358" s="10" t="str">
        <f aca="false">IF(J358&lt;&gt;"",J358,IF(I358="","",I358*IFERROR(INDEX(สินค้า!$G$2:$G$101,MATCH(B358,สินค้า!$A$2:$A$101,0)),0)))</f>
        <v/>
      </c>
      <c r="L358" s="16" t="str">
        <f aca="false">IF(OR(F358="",F358=0,G358=""),"",G358/F358)</f>
        <v/>
      </c>
      <c r="M358" s="16" t="str">
        <f aca="false">IF(OR(G358="",G358=0,H358=""),"",H358/G358)</f>
        <v/>
      </c>
    </row>
    <row r="359" customFormat="false" ht="15" hidden="false" customHeight="false" outlineLevel="0" collapsed="false">
      <c r="A359" s="12"/>
      <c r="B359" s="6"/>
      <c r="C359" s="13" t="str">
        <f aca="false">IF(B359="","",IFERROR(INDEX(สินค้า!$B$2:$B$101,MATCH(B359,สินค้า!$A$2:$A$101,0)),"ไม่พบรหัส"))</f>
        <v/>
      </c>
      <c r="D359" s="14" t="str">
        <f aca="false">IF(B359="","",IFERROR(INDEX(สินค้า!$D$2:$D$101,MATCH(B359,สินค้า!$A$2:$A$101,0)),""))</f>
        <v/>
      </c>
      <c r="E359" s="6"/>
      <c r="F359" s="8"/>
      <c r="G359" s="8"/>
      <c r="H359" s="8"/>
      <c r="I359" s="15"/>
      <c r="J359" s="15"/>
      <c r="K359" s="10" t="str">
        <f aca="false">IF(J359&lt;&gt;"",J359,IF(I359="","",I359*IFERROR(INDEX(สินค้า!$G$2:$G$101,MATCH(B359,สินค้า!$A$2:$A$101,0)),0)))</f>
        <v/>
      </c>
      <c r="L359" s="16" t="str">
        <f aca="false">IF(OR(F359="",F359=0,G359=""),"",G359/F359)</f>
        <v/>
      </c>
      <c r="M359" s="16" t="str">
        <f aca="false">IF(OR(G359="",G359=0,H359=""),"",H359/G359)</f>
        <v/>
      </c>
    </row>
    <row r="360" customFormat="false" ht="15" hidden="false" customHeight="false" outlineLevel="0" collapsed="false">
      <c r="A360" s="12"/>
      <c r="B360" s="6"/>
      <c r="C360" s="13" t="str">
        <f aca="false">IF(B360="","",IFERROR(INDEX(สินค้า!$B$2:$B$101,MATCH(B360,สินค้า!$A$2:$A$101,0)),"ไม่พบรหัส"))</f>
        <v/>
      </c>
      <c r="D360" s="14" t="str">
        <f aca="false">IF(B360="","",IFERROR(INDEX(สินค้า!$D$2:$D$101,MATCH(B360,สินค้า!$A$2:$A$101,0)),""))</f>
        <v/>
      </c>
      <c r="E360" s="6"/>
      <c r="F360" s="8"/>
      <c r="G360" s="8"/>
      <c r="H360" s="8"/>
      <c r="I360" s="15"/>
      <c r="J360" s="15"/>
      <c r="K360" s="10" t="str">
        <f aca="false">IF(J360&lt;&gt;"",J360,IF(I360="","",I360*IFERROR(INDEX(สินค้า!$G$2:$G$101,MATCH(B360,สินค้า!$A$2:$A$101,0)),0)))</f>
        <v/>
      </c>
      <c r="L360" s="16" t="str">
        <f aca="false">IF(OR(F360="",F360=0,G360=""),"",G360/F360)</f>
        <v/>
      </c>
      <c r="M360" s="16" t="str">
        <f aca="false">IF(OR(G360="",G360=0,H360=""),"",H360/G360)</f>
        <v/>
      </c>
    </row>
    <row r="361" customFormat="false" ht="15" hidden="false" customHeight="false" outlineLevel="0" collapsed="false">
      <c r="A361" s="12"/>
      <c r="B361" s="6"/>
      <c r="C361" s="13" t="str">
        <f aca="false">IF(B361="","",IFERROR(INDEX(สินค้า!$B$2:$B$101,MATCH(B361,สินค้า!$A$2:$A$101,0)),"ไม่พบรหัส"))</f>
        <v/>
      </c>
      <c r="D361" s="14" t="str">
        <f aca="false">IF(B361="","",IFERROR(INDEX(สินค้า!$D$2:$D$101,MATCH(B361,สินค้า!$A$2:$A$101,0)),""))</f>
        <v/>
      </c>
      <c r="E361" s="6"/>
      <c r="F361" s="8"/>
      <c r="G361" s="8"/>
      <c r="H361" s="8"/>
      <c r="I361" s="15"/>
      <c r="J361" s="15"/>
      <c r="K361" s="10" t="str">
        <f aca="false">IF(J361&lt;&gt;"",J361,IF(I361="","",I361*IFERROR(INDEX(สินค้า!$G$2:$G$101,MATCH(B361,สินค้า!$A$2:$A$101,0)),0)))</f>
        <v/>
      </c>
      <c r="L361" s="16" t="str">
        <f aca="false">IF(OR(F361="",F361=0,G361=""),"",G361/F361)</f>
        <v/>
      </c>
      <c r="M361" s="16" t="str">
        <f aca="false">IF(OR(G361="",G361=0,H361=""),"",H361/G361)</f>
        <v/>
      </c>
    </row>
    <row r="362" customFormat="false" ht="15" hidden="false" customHeight="false" outlineLevel="0" collapsed="false">
      <c r="A362" s="12"/>
      <c r="B362" s="6"/>
      <c r="C362" s="13" t="str">
        <f aca="false">IF(B362="","",IFERROR(INDEX(สินค้า!$B$2:$B$101,MATCH(B362,สินค้า!$A$2:$A$101,0)),"ไม่พบรหัส"))</f>
        <v/>
      </c>
      <c r="D362" s="14" t="str">
        <f aca="false">IF(B362="","",IFERROR(INDEX(สินค้า!$D$2:$D$101,MATCH(B362,สินค้า!$A$2:$A$101,0)),""))</f>
        <v/>
      </c>
      <c r="E362" s="6"/>
      <c r="F362" s="8"/>
      <c r="G362" s="8"/>
      <c r="H362" s="8"/>
      <c r="I362" s="15"/>
      <c r="J362" s="15"/>
      <c r="K362" s="10" t="str">
        <f aca="false">IF(J362&lt;&gt;"",J362,IF(I362="","",I362*IFERROR(INDEX(สินค้า!$G$2:$G$101,MATCH(B362,สินค้า!$A$2:$A$101,0)),0)))</f>
        <v/>
      </c>
      <c r="L362" s="16" t="str">
        <f aca="false">IF(OR(F362="",F362=0,G362=""),"",G362/F362)</f>
        <v/>
      </c>
      <c r="M362" s="16" t="str">
        <f aca="false">IF(OR(G362="",G362=0,H362=""),"",H362/G362)</f>
        <v/>
      </c>
    </row>
    <row r="363" customFormat="false" ht="15" hidden="false" customHeight="false" outlineLevel="0" collapsed="false">
      <c r="A363" s="12"/>
      <c r="B363" s="6"/>
      <c r="C363" s="13" t="str">
        <f aca="false">IF(B363="","",IFERROR(INDEX(สินค้า!$B$2:$B$101,MATCH(B363,สินค้า!$A$2:$A$101,0)),"ไม่พบรหัส"))</f>
        <v/>
      </c>
      <c r="D363" s="14" t="str">
        <f aca="false">IF(B363="","",IFERROR(INDEX(สินค้า!$D$2:$D$101,MATCH(B363,สินค้า!$A$2:$A$101,0)),""))</f>
        <v/>
      </c>
      <c r="E363" s="6"/>
      <c r="F363" s="8"/>
      <c r="G363" s="8"/>
      <c r="H363" s="8"/>
      <c r="I363" s="15"/>
      <c r="J363" s="15"/>
      <c r="K363" s="10" t="str">
        <f aca="false">IF(J363&lt;&gt;"",J363,IF(I363="","",I363*IFERROR(INDEX(สินค้า!$G$2:$G$101,MATCH(B363,สินค้า!$A$2:$A$101,0)),0)))</f>
        <v/>
      </c>
      <c r="L363" s="16" t="str">
        <f aca="false">IF(OR(F363="",F363=0,G363=""),"",G363/F363)</f>
        <v/>
      </c>
      <c r="M363" s="16" t="str">
        <f aca="false">IF(OR(G363="",G363=0,H363=""),"",H363/G363)</f>
        <v/>
      </c>
    </row>
    <row r="364" customFormat="false" ht="15" hidden="false" customHeight="false" outlineLevel="0" collapsed="false">
      <c r="A364" s="12"/>
      <c r="B364" s="6"/>
      <c r="C364" s="13" t="str">
        <f aca="false">IF(B364="","",IFERROR(INDEX(สินค้า!$B$2:$B$101,MATCH(B364,สินค้า!$A$2:$A$101,0)),"ไม่พบรหัส"))</f>
        <v/>
      </c>
      <c r="D364" s="14" t="str">
        <f aca="false">IF(B364="","",IFERROR(INDEX(สินค้า!$D$2:$D$101,MATCH(B364,สินค้า!$A$2:$A$101,0)),""))</f>
        <v/>
      </c>
      <c r="E364" s="6"/>
      <c r="F364" s="8"/>
      <c r="G364" s="8"/>
      <c r="H364" s="8"/>
      <c r="I364" s="15"/>
      <c r="J364" s="15"/>
      <c r="K364" s="10" t="str">
        <f aca="false">IF(J364&lt;&gt;"",J364,IF(I364="","",I364*IFERROR(INDEX(สินค้า!$G$2:$G$101,MATCH(B364,สินค้า!$A$2:$A$101,0)),0)))</f>
        <v/>
      </c>
      <c r="L364" s="16" t="str">
        <f aca="false">IF(OR(F364="",F364=0,G364=""),"",G364/F364)</f>
        <v/>
      </c>
      <c r="M364" s="16" t="str">
        <f aca="false">IF(OR(G364="",G364=0,H364=""),"",H364/G364)</f>
        <v/>
      </c>
    </row>
    <row r="365" customFormat="false" ht="15" hidden="false" customHeight="false" outlineLevel="0" collapsed="false">
      <c r="A365" s="12"/>
      <c r="B365" s="6"/>
      <c r="C365" s="13" t="str">
        <f aca="false">IF(B365="","",IFERROR(INDEX(สินค้า!$B$2:$B$101,MATCH(B365,สินค้า!$A$2:$A$101,0)),"ไม่พบรหัส"))</f>
        <v/>
      </c>
      <c r="D365" s="14" t="str">
        <f aca="false">IF(B365="","",IFERROR(INDEX(สินค้า!$D$2:$D$101,MATCH(B365,สินค้า!$A$2:$A$101,0)),""))</f>
        <v/>
      </c>
      <c r="E365" s="6"/>
      <c r="F365" s="8"/>
      <c r="G365" s="8"/>
      <c r="H365" s="8"/>
      <c r="I365" s="15"/>
      <c r="J365" s="15"/>
      <c r="K365" s="10" t="str">
        <f aca="false">IF(J365&lt;&gt;"",J365,IF(I365="","",I365*IFERROR(INDEX(สินค้า!$G$2:$G$101,MATCH(B365,สินค้า!$A$2:$A$101,0)),0)))</f>
        <v/>
      </c>
      <c r="L365" s="16" t="str">
        <f aca="false">IF(OR(F365="",F365=0,G365=""),"",G365/F365)</f>
        <v/>
      </c>
      <c r="M365" s="16" t="str">
        <f aca="false">IF(OR(G365="",G365=0,H365=""),"",H365/G365)</f>
        <v/>
      </c>
    </row>
    <row r="366" customFormat="false" ht="15" hidden="false" customHeight="false" outlineLevel="0" collapsed="false">
      <c r="A366" s="12"/>
      <c r="B366" s="6"/>
      <c r="C366" s="13" t="str">
        <f aca="false">IF(B366="","",IFERROR(INDEX(สินค้า!$B$2:$B$101,MATCH(B366,สินค้า!$A$2:$A$101,0)),"ไม่พบรหัส"))</f>
        <v/>
      </c>
      <c r="D366" s="14" t="str">
        <f aca="false">IF(B366="","",IFERROR(INDEX(สินค้า!$D$2:$D$101,MATCH(B366,สินค้า!$A$2:$A$101,0)),""))</f>
        <v/>
      </c>
      <c r="E366" s="6"/>
      <c r="F366" s="8"/>
      <c r="G366" s="8"/>
      <c r="H366" s="8"/>
      <c r="I366" s="15"/>
      <c r="J366" s="15"/>
      <c r="K366" s="10" t="str">
        <f aca="false">IF(J366&lt;&gt;"",J366,IF(I366="","",I366*IFERROR(INDEX(สินค้า!$G$2:$G$101,MATCH(B366,สินค้า!$A$2:$A$101,0)),0)))</f>
        <v/>
      </c>
      <c r="L366" s="16" t="str">
        <f aca="false">IF(OR(F366="",F366=0,G366=""),"",G366/F366)</f>
        <v/>
      </c>
      <c r="M366" s="16" t="str">
        <f aca="false">IF(OR(G366="",G366=0,H366=""),"",H366/G366)</f>
        <v/>
      </c>
    </row>
    <row r="367" customFormat="false" ht="15" hidden="false" customHeight="false" outlineLevel="0" collapsed="false">
      <c r="A367" s="12"/>
      <c r="B367" s="6"/>
      <c r="C367" s="13" t="str">
        <f aca="false">IF(B367="","",IFERROR(INDEX(สินค้า!$B$2:$B$101,MATCH(B367,สินค้า!$A$2:$A$101,0)),"ไม่พบรหัส"))</f>
        <v/>
      </c>
      <c r="D367" s="14" t="str">
        <f aca="false">IF(B367="","",IFERROR(INDEX(สินค้า!$D$2:$D$101,MATCH(B367,สินค้า!$A$2:$A$101,0)),""))</f>
        <v/>
      </c>
      <c r="E367" s="6"/>
      <c r="F367" s="8"/>
      <c r="G367" s="8"/>
      <c r="H367" s="8"/>
      <c r="I367" s="15"/>
      <c r="J367" s="15"/>
      <c r="K367" s="10" t="str">
        <f aca="false">IF(J367&lt;&gt;"",J367,IF(I367="","",I367*IFERROR(INDEX(สินค้า!$G$2:$G$101,MATCH(B367,สินค้า!$A$2:$A$101,0)),0)))</f>
        <v/>
      </c>
      <c r="L367" s="16" t="str">
        <f aca="false">IF(OR(F367="",F367=0,G367=""),"",G367/F367)</f>
        <v/>
      </c>
      <c r="M367" s="16" t="str">
        <f aca="false">IF(OR(G367="",G367=0,H367=""),"",H367/G367)</f>
        <v/>
      </c>
    </row>
    <row r="368" customFormat="false" ht="15" hidden="false" customHeight="false" outlineLevel="0" collapsed="false">
      <c r="A368" s="12"/>
      <c r="B368" s="6"/>
      <c r="C368" s="13" t="str">
        <f aca="false">IF(B368="","",IFERROR(INDEX(สินค้า!$B$2:$B$101,MATCH(B368,สินค้า!$A$2:$A$101,0)),"ไม่พบรหัส"))</f>
        <v/>
      </c>
      <c r="D368" s="14" t="str">
        <f aca="false">IF(B368="","",IFERROR(INDEX(สินค้า!$D$2:$D$101,MATCH(B368,สินค้า!$A$2:$A$101,0)),""))</f>
        <v/>
      </c>
      <c r="E368" s="6"/>
      <c r="F368" s="8"/>
      <c r="G368" s="8"/>
      <c r="H368" s="8"/>
      <c r="I368" s="15"/>
      <c r="J368" s="15"/>
      <c r="K368" s="10" t="str">
        <f aca="false">IF(J368&lt;&gt;"",J368,IF(I368="","",I368*IFERROR(INDEX(สินค้า!$G$2:$G$101,MATCH(B368,สินค้า!$A$2:$A$101,0)),0)))</f>
        <v/>
      </c>
      <c r="L368" s="16" t="str">
        <f aca="false">IF(OR(F368="",F368=0,G368=""),"",G368/F368)</f>
        <v/>
      </c>
      <c r="M368" s="16" t="str">
        <f aca="false">IF(OR(G368="",G368=0,H368=""),"",H368/G368)</f>
        <v/>
      </c>
    </row>
    <row r="369" customFormat="false" ht="15" hidden="false" customHeight="false" outlineLevel="0" collapsed="false">
      <c r="A369" s="12"/>
      <c r="B369" s="6"/>
      <c r="C369" s="13" t="str">
        <f aca="false">IF(B369="","",IFERROR(INDEX(สินค้า!$B$2:$B$101,MATCH(B369,สินค้า!$A$2:$A$101,0)),"ไม่พบรหัส"))</f>
        <v/>
      </c>
      <c r="D369" s="14" t="str">
        <f aca="false">IF(B369="","",IFERROR(INDEX(สินค้า!$D$2:$D$101,MATCH(B369,สินค้า!$A$2:$A$101,0)),""))</f>
        <v/>
      </c>
      <c r="E369" s="6"/>
      <c r="F369" s="8"/>
      <c r="G369" s="8"/>
      <c r="H369" s="8"/>
      <c r="I369" s="15"/>
      <c r="J369" s="15"/>
      <c r="K369" s="10" t="str">
        <f aca="false">IF(J369&lt;&gt;"",J369,IF(I369="","",I369*IFERROR(INDEX(สินค้า!$G$2:$G$101,MATCH(B369,สินค้า!$A$2:$A$101,0)),0)))</f>
        <v/>
      </c>
      <c r="L369" s="16" t="str">
        <f aca="false">IF(OR(F369="",F369=0,G369=""),"",G369/F369)</f>
        <v/>
      </c>
      <c r="M369" s="16" t="str">
        <f aca="false">IF(OR(G369="",G369=0,H369=""),"",H369/G369)</f>
        <v/>
      </c>
    </row>
    <row r="370" customFormat="false" ht="15" hidden="false" customHeight="false" outlineLevel="0" collapsed="false">
      <c r="A370" s="12"/>
      <c r="B370" s="6"/>
      <c r="C370" s="13" t="str">
        <f aca="false">IF(B370="","",IFERROR(INDEX(สินค้า!$B$2:$B$101,MATCH(B370,สินค้า!$A$2:$A$101,0)),"ไม่พบรหัส"))</f>
        <v/>
      </c>
      <c r="D370" s="14" t="str">
        <f aca="false">IF(B370="","",IFERROR(INDEX(สินค้า!$D$2:$D$101,MATCH(B370,สินค้า!$A$2:$A$101,0)),""))</f>
        <v/>
      </c>
      <c r="E370" s="6"/>
      <c r="F370" s="8"/>
      <c r="G370" s="8"/>
      <c r="H370" s="8"/>
      <c r="I370" s="15"/>
      <c r="J370" s="15"/>
      <c r="K370" s="10" t="str">
        <f aca="false">IF(J370&lt;&gt;"",J370,IF(I370="","",I370*IFERROR(INDEX(สินค้า!$G$2:$G$101,MATCH(B370,สินค้า!$A$2:$A$101,0)),0)))</f>
        <v/>
      </c>
      <c r="L370" s="16" t="str">
        <f aca="false">IF(OR(F370="",F370=0,G370=""),"",G370/F370)</f>
        <v/>
      </c>
      <c r="M370" s="16" t="str">
        <f aca="false">IF(OR(G370="",G370=0,H370=""),"",H370/G370)</f>
        <v/>
      </c>
    </row>
    <row r="371" customFormat="false" ht="15" hidden="false" customHeight="false" outlineLevel="0" collapsed="false">
      <c r="A371" s="12"/>
      <c r="B371" s="6"/>
      <c r="C371" s="13" t="str">
        <f aca="false">IF(B371="","",IFERROR(INDEX(สินค้า!$B$2:$B$101,MATCH(B371,สินค้า!$A$2:$A$101,0)),"ไม่พบรหัส"))</f>
        <v/>
      </c>
      <c r="D371" s="14" t="str">
        <f aca="false">IF(B371="","",IFERROR(INDEX(สินค้า!$D$2:$D$101,MATCH(B371,สินค้า!$A$2:$A$101,0)),""))</f>
        <v/>
      </c>
      <c r="E371" s="6"/>
      <c r="F371" s="8"/>
      <c r="G371" s="8"/>
      <c r="H371" s="8"/>
      <c r="I371" s="15"/>
      <c r="J371" s="15"/>
      <c r="K371" s="10" t="str">
        <f aca="false">IF(J371&lt;&gt;"",J371,IF(I371="","",I371*IFERROR(INDEX(สินค้า!$G$2:$G$101,MATCH(B371,สินค้า!$A$2:$A$101,0)),0)))</f>
        <v/>
      </c>
      <c r="L371" s="16" t="str">
        <f aca="false">IF(OR(F371="",F371=0,G371=""),"",G371/F371)</f>
        <v/>
      </c>
      <c r="M371" s="16" t="str">
        <f aca="false">IF(OR(G371="",G371=0,H371=""),"",H371/G371)</f>
        <v/>
      </c>
    </row>
    <row r="372" customFormat="false" ht="15" hidden="false" customHeight="false" outlineLevel="0" collapsed="false">
      <c r="A372" s="12"/>
      <c r="B372" s="6"/>
      <c r="C372" s="13" t="str">
        <f aca="false">IF(B372="","",IFERROR(INDEX(สินค้า!$B$2:$B$101,MATCH(B372,สินค้า!$A$2:$A$101,0)),"ไม่พบรหัส"))</f>
        <v/>
      </c>
      <c r="D372" s="14" t="str">
        <f aca="false">IF(B372="","",IFERROR(INDEX(สินค้า!$D$2:$D$101,MATCH(B372,สินค้า!$A$2:$A$101,0)),""))</f>
        <v/>
      </c>
      <c r="E372" s="6"/>
      <c r="F372" s="8"/>
      <c r="G372" s="8"/>
      <c r="H372" s="8"/>
      <c r="I372" s="15"/>
      <c r="J372" s="15"/>
      <c r="K372" s="10" t="str">
        <f aca="false">IF(J372&lt;&gt;"",J372,IF(I372="","",I372*IFERROR(INDEX(สินค้า!$G$2:$G$101,MATCH(B372,สินค้า!$A$2:$A$101,0)),0)))</f>
        <v/>
      </c>
      <c r="L372" s="16" t="str">
        <f aca="false">IF(OR(F372="",F372=0,G372=""),"",G372/F372)</f>
        <v/>
      </c>
      <c r="M372" s="16" t="str">
        <f aca="false">IF(OR(G372="",G372=0,H372=""),"",H372/G372)</f>
        <v/>
      </c>
    </row>
    <row r="373" customFormat="false" ht="15" hidden="false" customHeight="false" outlineLevel="0" collapsed="false">
      <c r="A373" s="12"/>
      <c r="B373" s="6"/>
      <c r="C373" s="13" t="str">
        <f aca="false">IF(B373="","",IFERROR(INDEX(สินค้า!$B$2:$B$101,MATCH(B373,สินค้า!$A$2:$A$101,0)),"ไม่พบรหัส"))</f>
        <v/>
      </c>
      <c r="D373" s="14" t="str">
        <f aca="false">IF(B373="","",IFERROR(INDEX(สินค้า!$D$2:$D$101,MATCH(B373,สินค้า!$A$2:$A$101,0)),""))</f>
        <v/>
      </c>
      <c r="E373" s="6"/>
      <c r="F373" s="8"/>
      <c r="G373" s="8"/>
      <c r="H373" s="8"/>
      <c r="I373" s="15"/>
      <c r="J373" s="15"/>
      <c r="K373" s="10" t="str">
        <f aca="false">IF(J373&lt;&gt;"",J373,IF(I373="","",I373*IFERROR(INDEX(สินค้า!$G$2:$G$101,MATCH(B373,สินค้า!$A$2:$A$101,0)),0)))</f>
        <v/>
      </c>
      <c r="L373" s="16" t="str">
        <f aca="false">IF(OR(F373="",F373=0,G373=""),"",G373/F373)</f>
        <v/>
      </c>
      <c r="M373" s="16" t="str">
        <f aca="false">IF(OR(G373="",G373=0,H373=""),"",H373/G373)</f>
        <v/>
      </c>
    </row>
    <row r="374" customFormat="false" ht="15" hidden="false" customHeight="false" outlineLevel="0" collapsed="false">
      <c r="A374" s="12"/>
      <c r="B374" s="6"/>
      <c r="C374" s="13" t="str">
        <f aca="false">IF(B374="","",IFERROR(INDEX(สินค้า!$B$2:$B$101,MATCH(B374,สินค้า!$A$2:$A$101,0)),"ไม่พบรหัส"))</f>
        <v/>
      </c>
      <c r="D374" s="14" t="str">
        <f aca="false">IF(B374="","",IFERROR(INDEX(สินค้า!$D$2:$D$101,MATCH(B374,สินค้า!$A$2:$A$101,0)),""))</f>
        <v/>
      </c>
      <c r="E374" s="6"/>
      <c r="F374" s="8"/>
      <c r="G374" s="8"/>
      <c r="H374" s="8"/>
      <c r="I374" s="15"/>
      <c r="J374" s="15"/>
      <c r="K374" s="10" t="str">
        <f aca="false">IF(J374&lt;&gt;"",J374,IF(I374="","",I374*IFERROR(INDEX(สินค้า!$G$2:$G$101,MATCH(B374,สินค้า!$A$2:$A$101,0)),0)))</f>
        <v/>
      </c>
      <c r="L374" s="16" t="str">
        <f aca="false">IF(OR(F374="",F374=0,G374=""),"",G374/F374)</f>
        <v/>
      </c>
      <c r="M374" s="16" t="str">
        <f aca="false">IF(OR(G374="",G374=0,H374=""),"",H374/G374)</f>
        <v/>
      </c>
    </row>
    <row r="375" customFormat="false" ht="15" hidden="false" customHeight="false" outlineLevel="0" collapsed="false">
      <c r="A375" s="12"/>
      <c r="B375" s="6"/>
      <c r="C375" s="13" t="str">
        <f aca="false">IF(B375="","",IFERROR(INDEX(สินค้า!$B$2:$B$101,MATCH(B375,สินค้า!$A$2:$A$101,0)),"ไม่พบรหัส"))</f>
        <v/>
      </c>
      <c r="D375" s="14" t="str">
        <f aca="false">IF(B375="","",IFERROR(INDEX(สินค้า!$D$2:$D$101,MATCH(B375,สินค้า!$A$2:$A$101,0)),""))</f>
        <v/>
      </c>
      <c r="E375" s="6"/>
      <c r="F375" s="8"/>
      <c r="G375" s="8"/>
      <c r="H375" s="8"/>
      <c r="I375" s="15"/>
      <c r="J375" s="15"/>
      <c r="K375" s="10" t="str">
        <f aca="false">IF(J375&lt;&gt;"",J375,IF(I375="","",I375*IFERROR(INDEX(สินค้า!$G$2:$G$101,MATCH(B375,สินค้า!$A$2:$A$101,0)),0)))</f>
        <v/>
      </c>
      <c r="L375" s="16" t="str">
        <f aca="false">IF(OR(F375="",F375=0,G375=""),"",G375/F375)</f>
        <v/>
      </c>
      <c r="M375" s="16" t="str">
        <f aca="false">IF(OR(G375="",G375=0,H375=""),"",H375/G375)</f>
        <v/>
      </c>
    </row>
    <row r="376" customFormat="false" ht="15" hidden="false" customHeight="false" outlineLevel="0" collapsed="false">
      <c r="A376" s="12"/>
      <c r="B376" s="6"/>
      <c r="C376" s="13" t="str">
        <f aca="false">IF(B376="","",IFERROR(INDEX(สินค้า!$B$2:$B$101,MATCH(B376,สินค้า!$A$2:$A$101,0)),"ไม่พบรหัส"))</f>
        <v/>
      </c>
      <c r="D376" s="14" t="str">
        <f aca="false">IF(B376="","",IFERROR(INDEX(สินค้า!$D$2:$D$101,MATCH(B376,สินค้า!$A$2:$A$101,0)),""))</f>
        <v/>
      </c>
      <c r="E376" s="6"/>
      <c r="F376" s="8"/>
      <c r="G376" s="8"/>
      <c r="H376" s="8"/>
      <c r="I376" s="15"/>
      <c r="J376" s="15"/>
      <c r="K376" s="10" t="str">
        <f aca="false">IF(J376&lt;&gt;"",J376,IF(I376="","",I376*IFERROR(INDEX(สินค้า!$G$2:$G$101,MATCH(B376,สินค้า!$A$2:$A$101,0)),0)))</f>
        <v/>
      </c>
      <c r="L376" s="16" t="str">
        <f aca="false">IF(OR(F376="",F376=0,G376=""),"",G376/F376)</f>
        <v/>
      </c>
      <c r="M376" s="16" t="str">
        <f aca="false">IF(OR(G376="",G376=0,H376=""),"",H376/G376)</f>
        <v/>
      </c>
    </row>
    <row r="377" customFormat="false" ht="15" hidden="false" customHeight="false" outlineLevel="0" collapsed="false">
      <c r="A377" s="12"/>
      <c r="B377" s="6"/>
      <c r="C377" s="13" t="str">
        <f aca="false">IF(B377="","",IFERROR(INDEX(สินค้า!$B$2:$B$101,MATCH(B377,สินค้า!$A$2:$A$101,0)),"ไม่พบรหัส"))</f>
        <v/>
      </c>
      <c r="D377" s="14" t="str">
        <f aca="false">IF(B377="","",IFERROR(INDEX(สินค้า!$D$2:$D$101,MATCH(B377,สินค้า!$A$2:$A$101,0)),""))</f>
        <v/>
      </c>
      <c r="E377" s="6"/>
      <c r="F377" s="8"/>
      <c r="G377" s="8"/>
      <c r="H377" s="8"/>
      <c r="I377" s="15"/>
      <c r="J377" s="15"/>
      <c r="K377" s="10" t="str">
        <f aca="false">IF(J377&lt;&gt;"",J377,IF(I377="","",I377*IFERROR(INDEX(สินค้า!$G$2:$G$101,MATCH(B377,สินค้า!$A$2:$A$101,0)),0)))</f>
        <v/>
      </c>
      <c r="L377" s="16" t="str">
        <f aca="false">IF(OR(F377="",F377=0,G377=""),"",G377/F377)</f>
        <v/>
      </c>
      <c r="M377" s="16" t="str">
        <f aca="false">IF(OR(G377="",G377=0,H377=""),"",H377/G377)</f>
        <v/>
      </c>
    </row>
    <row r="378" customFormat="false" ht="15" hidden="false" customHeight="false" outlineLevel="0" collapsed="false">
      <c r="A378" s="12"/>
      <c r="B378" s="6"/>
      <c r="C378" s="13" t="str">
        <f aca="false">IF(B378="","",IFERROR(INDEX(สินค้า!$B$2:$B$101,MATCH(B378,สินค้า!$A$2:$A$101,0)),"ไม่พบรหัส"))</f>
        <v/>
      </c>
      <c r="D378" s="14" t="str">
        <f aca="false">IF(B378="","",IFERROR(INDEX(สินค้า!$D$2:$D$101,MATCH(B378,สินค้า!$A$2:$A$101,0)),""))</f>
        <v/>
      </c>
      <c r="E378" s="6"/>
      <c r="F378" s="8"/>
      <c r="G378" s="8"/>
      <c r="H378" s="8"/>
      <c r="I378" s="15"/>
      <c r="J378" s="15"/>
      <c r="K378" s="10" t="str">
        <f aca="false">IF(J378&lt;&gt;"",J378,IF(I378="","",I378*IFERROR(INDEX(สินค้า!$G$2:$G$101,MATCH(B378,สินค้า!$A$2:$A$101,0)),0)))</f>
        <v/>
      </c>
      <c r="L378" s="16" t="str">
        <f aca="false">IF(OR(F378="",F378=0,G378=""),"",G378/F378)</f>
        <v/>
      </c>
      <c r="M378" s="16" t="str">
        <f aca="false">IF(OR(G378="",G378=0,H378=""),"",H378/G378)</f>
        <v/>
      </c>
    </row>
    <row r="379" customFormat="false" ht="15" hidden="false" customHeight="false" outlineLevel="0" collapsed="false">
      <c r="A379" s="12"/>
      <c r="B379" s="6"/>
      <c r="C379" s="13" t="str">
        <f aca="false">IF(B379="","",IFERROR(INDEX(สินค้า!$B$2:$B$101,MATCH(B379,สินค้า!$A$2:$A$101,0)),"ไม่พบรหัส"))</f>
        <v/>
      </c>
      <c r="D379" s="14" t="str">
        <f aca="false">IF(B379="","",IFERROR(INDEX(สินค้า!$D$2:$D$101,MATCH(B379,สินค้า!$A$2:$A$101,0)),""))</f>
        <v/>
      </c>
      <c r="E379" s="6"/>
      <c r="F379" s="8"/>
      <c r="G379" s="8"/>
      <c r="H379" s="8"/>
      <c r="I379" s="15"/>
      <c r="J379" s="15"/>
      <c r="K379" s="10" t="str">
        <f aca="false">IF(J379&lt;&gt;"",J379,IF(I379="","",I379*IFERROR(INDEX(สินค้า!$G$2:$G$101,MATCH(B379,สินค้า!$A$2:$A$101,0)),0)))</f>
        <v/>
      </c>
      <c r="L379" s="16" t="str">
        <f aca="false">IF(OR(F379="",F379=0,G379=""),"",G379/F379)</f>
        <v/>
      </c>
      <c r="M379" s="16" t="str">
        <f aca="false">IF(OR(G379="",G379=0,H379=""),"",H379/G379)</f>
        <v/>
      </c>
    </row>
    <row r="380" customFormat="false" ht="15" hidden="false" customHeight="false" outlineLevel="0" collapsed="false">
      <c r="A380" s="12"/>
      <c r="B380" s="6"/>
      <c r="C380" s="13" t="str">
        <f aca="false">IF(B380="","",IFERROR(INDEX(สินค้า!$B$2:$B$101,MATCH(B380,สินค้า!$A$2:$A$101,0)),"ไม่พบรหัส"))</f>
        <v/>
      </c>
      <c r="D380" s="14" t="str">
        <f aca="false">IF(B380="","",IFERROR(INDEX(สินค้า!$D$2:$D$101,MATCH(B380,สินค้า!$A$2:$A$101,0)),""))</f>
        <v/>
      </c>
      <c r="E380" s="6"/>
      <c r="F380" s="8"/>
      <c r="G380" s="8"/>
      <c r="H380" s="8"/>
      <c r="I380" s="15"/>
      <c r="J380" s="15"/>
      <c r="K380" s="10" t="str">
        <f aca="false">IF(J380&lt;&gt;"",J380,IF(I380="","",I380*IFERROR(INDEX(สินค้า!$G$2:$G$101,MATCH(B380,สินค้า!$A$2:$A$101,0)),0)))</f>
        <v/>
      </c>
      <c r="L380" s="16" t="str">
        <f aca="false">IF(OR(F380="",F380=0,G380=""),"",G380/F380)</f>
        <v/>
      </c>
      <c r="M380" s="16" t="str">
        <f aca="false">IF(OR(G380="",G380=0,H380=""),"",H380/G380)</f>
        <v/>
      </c>
    </row>
    <row r="381" customFormat="false" ht="15" hidden="false" customHeight="false" outlineLevel="0" collapsed="false">
      <c r="A381" s="12"/>
      <c r="B381" s="6"/>
      <c r="C381" s="13" t="str">
        <f aca="false">IF(B381="","",IFERROR(INDEX(สินค้า!$B$2:$B$101,MATCH(B381,สินค้า!$A$2:$A$101,0)),"ไม่พบรหัส"))</f>
        <v/>
      </c>
      <c r="D381" s="14" t="str">
        <f aca="false">IF(B381="","",IFERROR(INDEX(สินค้า!$D$2:$D$101,MATCH(B381,สินค้า!$A$2:$A$101,0)),""))</f>
        <v/>
      </c>
      <c r="E381" s="6"/>
      <c r="F381" s="8"/>
      <c r="G381" s="8"/>
      <c r="H381" s="8"/>
      <c r="I381" s="15"/>
      <c r="J381" s="15"/>
      <c r="K381" s="10" t="str">
        <f aca="false">IF(J381&lt;&gt;"",J381,IF(I381="","",I381*IFERROR(INDEX(สินค้า!$G$2:$G$101,MATCH(B381,สินค้า!$A$2:$A$101,0)),0)))</f>
        <v/>
      </c>
      <c r="L381" s="16" t="str">
        <f aca="false">IF(OR(F381="",F381=0,G381=""),"",G381/F381)</f>
        <v/>
      </c>
      <c r="M381" s="16" t="str">
        <f aca="false">IF(OR(G381="",G381=0,H381=""),"",H381/G381)</f>
        <v/>
      </c>
    </row>
    <row r="382" customFormat="false" ht="15" hidden="false" customHeight="false" outlineLevel="0" collapsed="false">
      <c r="A382" s="12"/>
      <c r="B382" s="6"/>
      <c r="C382" s="13" t="str">
        <f aca="false">IF(B382="","",IFERROR(INDEX(สินค้า!$B$2:$B$101,MATCH(B382,สินค้า!$A$2:$A$101,0)),"ไม่พบรหัส"))</f>
        <v/>
      </c>
      <c r="D382" s="14" t="str">
        <f aca="false">IF(B382="","",IFERROR(INDEX(สินค้า!$D$2:$D$101,MATCH(B382,สินค้า!$A$2:$A$101,0)),""))</f>
        <v/>
      </c>
      <c r="E382" s="6"/>
      <c r="F382" s="8"/>
      <c r="G382" s="8"/>
      <c r="H382" s="8"/>
      <c r="I382" s="15"/>
      <c r="J382" s="15"/>
      <c r="K382" s="10" t="str">
        <f aca="false">IF(J382&lt;&gt;"",J382,IF(I382="","",I382*IFERROR(INDEX(สินค้า!$G$2:$G$101,MATCH(B382,สินค้า!$A$2:$A$101,0)),0)))</f>
        <v/>
      </c>
      <c r="L382" s="16" t="str">
        <f aca="false">IF(OR(F382="",F382=0,G382=""),"",G382/F382)</f>
        <v/>
      </c>
      <c r="M382" s="16" t="str">
        <f aca="false">IF(OR(G382="",G382=0,H382=""),"",H382/G382)</f>
        <v/>
      </c>
    </row>
    <row r="383" customFormat="false" ht="15" hidden="false" customHeight="false" outlineLevel="0" collapsed="false">
      <c r="A383" s="12"/>
      <c r="B383" s="6"/>
      <c r="C383" s="13" t="str">
        <f aca="false">IF(B383="","",IFERROR(INDEX(สินค้า!$B$2:$B$101,MATCH(B383,สินค้า!$A$2:$A$101,0)),"ไม่พบรหัส"))</f>
        <v/>
      </c>
      <c r="D383" s="14" t="str">
        <f aca="false">IF(B383="","",IFERROR(INDEX(สินค้า!$D$2:$D$101,MATCH(B383,สินค้า!$A$2:$A$101,0)),""))</f>
        <v/>
      </c>
      <c r="E383" s="6"/>
      <c r="F383" s="8"/>
      <c r="G383" s="8"/>
      <c r="H383" s="8"/>
      <c r="I383" s="15"/>
      <c r="J383" s="15"/>
      <c r="K383" s="10" t="str">
        <f aca="false">IF(J383&lt;&gt;"",J383,IF(I383="","",I383*IFERROR(INDEX(สินค้า!$G$2:$G$101,MATCH(B383,สินค้า!$A$2:$A$101,0)),0)))</f>
        <v/>
      </c>
      <c r="L383" s="16" t="str">
        <f aca="false">IF(OR(F383="",F383=0,G383=""),"",G383/F383)</f>
        <v/>
      </c>
      <c r="M383" s="16" t="str">
        <f aca="false">IF(OR(G383="",G383=0,H383=""),"",H383/G383)</f>
        <v/>
      </c>
    </row>
    <row r="384" customFormat="false" ht="15" hidden="false" customHeight="false" outlineLevel="0" collapsed="false">
      <c r="A384" s="12"/>
      <c r="B384" s="6"/>
      <c r="C384" s="13" t="str">
        <f aca="false">IF(B384="","",IFERROR(INDEX(สินค้า!$B$2:$B$101,MATCH(B384,สินค้า!$A$2:$A$101,0)),"ไม่พบรหัส"))</f>
        <v/>
      </c>
      <c r="D384" s="14" t="str">
        <f aca="false">IF(B384="","",IFERROR(INDEX(สินค้า!$D$2:$D$101,MATCH(B384,สินค้า!$A$2:$A$101,0)),""))</f>
        <v/>
      </c>
      <c r="E384" s="6"/>
      <c r="F384" s="8"/>
      <c r="G384" s="8"/>
      <c r="H384" s="8"/>
      <c r="I384" s="15"/>
      <c r="J384" s="15"/>
      <c r="K384" s="10" t="str">
        <f aca="false">IF(J384&lt;&gt;"",J384,IF(I384="","",I384*IFERROR(INDEX(สินค้า!$G$2:$G$101,MATCH(B384,สินค้า!$A$2:$A$101,0)),0)))</f>
        <v/>
      </c>
      <c r="L384" s="16" t="str">
        <f aca="false">IF(OR(F384="",F384=0,G384=""),"",G384/F384)</f>
        <v/>
      </c>
      <c r="M384" s="16" t="str">
        <f aca="false">IF(OR(G384="",G384=0,H384=""),"",H384/G384)</f>
        <v/>
      </c>
    </row>
    <row r="385" customFormat="false" ht="15" hidden="false" customHeight="false" outlineLevel="0" collapsed="false">
      <c r="A385" s="12"/>
      <c r="B385" s="6"/>
      <c r="C385" s="13" t="str">
        <f aca="false">IF(B385="","",IFERROR(INDEX(สินค้า!$B$2:$B$101,MATCH(B385,สินค้า!$A$2:$A$101,0)),"ไม่พบรหัส"))</f>
        <v/>
      </c>
      <c r="D385" s="14" t="str">
        <f aca="false">IF(B385="","",IFERROR(INDEX(สินค้า!$D$2:$D$101,MATCH(B385,สินค้า!$A$2:$A$101,0)),""))</f>
        <v/>
      </c>
      <c r="E385" s="6"/>
      <c r="F385" s="8"/>
      <c r="G385" s="8"/>
      <c r="H385" s="8"/>
      <c r="I385" s="15"/>
      <c r="J385" s="15"/>
      <c r="K385" s="10" t="str">
        <f aca="false">IF(J385&lt;&gt;"",J385,IF(I385="","",I385*IFERROR(INDEX(สินค้า!$G$2:$G$101,MATCH(B385,สินค้า!$A$2:$A$101,0)),0)))</f>
        <v/>
      </c>
      <c r="L385" s="16" t="str">
        <f aca="false">IF(OR(F385="",F385=0,G385=""),"",G385/F385)</f>
        <v/>
      </c>
      <c r="M385" s="16" t="str">
        <f aca="false">IF(OR(G385="",G385=0,H385=""),"",H385/G385)</f>
        <v/>
      </c>
    </row>
    <row r="386" customFormat="false" ht="15" hidden="false" customHeight="false" outlineLevel="0" collapsed="false">
      <c r="A386" s="12"/>
      <c r="B386" s="6"/>
      <c r="C386" s="13" t="str">
        <f aca="false">IF(B386="","",IFERROR(INDEX(สินค้า!$B$2:$B$101,MATCH(B386,สินค้า!$A$2:$A$101,0)),"ไม่พบรหัส"))</f>
        <v/>
      </c>
      <c r="D386" s="14" t="str">
        <f aca="false">IF(B386="","",IFERROR(INDEX(สินค้า!$D$2:$D$101,MATCH(B386,สินค้า!$A$2:$A$101,0)),""))</f>
        <v/>
      </c>
      <c r="E386" s="6"/>
      <c r="F386" s="8"/>
      <c r="G386" s="8"/>
      <c r="H386" s="8"/>
      <c r="I386" s="15"/>
      <c r="J386" s="15"/>
      <c r="K386" s="10" t="str">
        <f aca="false">IF(J386&lt;&gt;"",J386,IF(I386="","",I386*IFERROR(INDEX(สินค้า!$G$2:$G$101,MATCH(B386,สินค้า!$A$2:$A$101,0)),0)))</f>
        <v/>
      </c>
      <c r="L386" s="16" t="str">
        <f aca="false">IF(OR(F386="",F386=0,G386=""),"",G386/F386)</f>
        <v/>
      </c>
      <c r="M386" s="16" t="str">
        <f aca="false">IF(OR(G386="",G386=0,H386=""),"",H386/G386)</f>
        <v/>
      </c>
    </row>
    <row r="387" customFormat="false" ht="15" hidden="false" customHeight="false" outlineLevel="0" collapsed="false">
      <c r="A387" s="12"/>
      <c r="B387" s="6"/>
      <c r="C387" s="13" t="str">
        <f aca="false">IF(B387="","",IFERROR(INDEX(สินค้า!$B$2:$B$101,MATCH(B387,สินค้า!$A$2:$A$101,0)),"ไม่พบรหัส"))</f>
        <v/>
      </c>
      <c r="D387" s="14" t="str">
        <f aca="false">IF(B387="","",IFERROR(INDEX(สินค้า!$D$2:$D$101,MATCH(B387,สินค้า!$A$2:$A$101,0)),""))</f>
        <v/>
      </c>
      <c r="E387" s="6"/>
      <c r="F387" s="8"/>
      <c r="G387" s="8"/>
      <c r="H387" s="8"/>
      <c r="I387" s="15"/>
      <c r="J387" s="15"/>
      <c r="K387" s="10" t="str">
        <f aca="false">IF(J387&lt;&gt;"",J387,IF(I387="","",I387*IFERROR(INDEX(สินค้า!$G$2:$G$101,MATCH(B387,สินค้า!$A$2:$A$101,0)),0)))</f>
        <v/>
      </c>
      <c r="L387" s="16" t="str">
        <f aca="false">IF(OR(F387="",F387=0,G387=""),"",G387/F387)</f>
        <v/>
      </c>
      <c r="M387" s="16" t="str">
        <f aca="false">IF(OR(G387="",G387=0,H387=""),"",H387/G387)</f>
        <v/>
      </c>
    </row>
    <row r="388" customFormat="false" ht="15" hidden="false" customHeight="false" outlineLevel="0" collapsed="false">
      <c r="A388" s="12"/>
      <c r="B388" s="6"/>
      <c r="C388" s="13" t="str">
        <f aca="false">IF(B388="","",IFERROR(INDEX(สินค้า!$B$2:$B$101,MATCH(B388,สินค้า!$A$2:$A$101,0)),"ไม่พบรหัส"))</f>
        <v/>
      </c>
      <c r="D388" s="14" t="str">
        <f aca="false">IF(B388="","",IFERROR(INDEX(สินค้า!$D$2:$D$101,MATCH(B388,สินค้า!$A$2:$A$101,0)),""))</f>
        <v/>
      </c>
      <c r="E388" s="6"/>
      <c r="F388" s="8"/>
      <c r="G388" s="8"/>
      <c r="H388" s="8"/>
      <c r="I388" s="15"/>
      <c r="J388" s="15"/>
      <c r="K388" s="10" t="str">
        <f aca="false">IF(J388&lt;&gt;"",J388,IF(I388="","",I388*IFERROR(INDEX(สินค้า!$G$2:$G$101,MATCH(B388,สินค้า!$A$2:$A$101,0)),0)))</f>
        <v/>
      </c>
      <c r="L388" s="16" t="str">
        <f aca="false">IF(OR(F388="",F388=0,G388=""),"",G388/F388)</f>
        <v/>
      </c>
      <c r="M388" s="16" t="str">
        <f aca="false">IF(OR(G388="",G388=0,H388=""),"",H388/G388)</f>
        <v/>
      </c>
    </row>
    <row r="389" customFormat="false" ht="15" hidden="false" customHeight="false" outlineLevel="0" collapsed="false">
      <c r="A389" s="12"/>
      <c r="B389" s="6"/>
      <c r="C389" s="13" t="str">
        <f aca="false">IF(B389="","",IFERROR(INDEX(สินค้า!$B$2:$B$101,MATCH(B389,สินค้า!$A$2:$A$101,0)),"ไม่พบรหัส"))</f>
        <v/>
      </c>
      <c r="D389" s="14" t="str">
        <f aca="false">IF(B389="","",IFERROR(INDEX(สินค้า!$D$2:$D$101,MATCH(B389,สินค้า!$A$2:$A$101,0)),""))</f>
        <v/>
      </c>
      <c r="E389" s="6"/>
      <c r="F389" s="8"/>
      <c r="G389" s="8"/>
      <c r="H389" s="8"/>
      <c r="I389" s="15"/>
      <c r="J389" s="15"/>
      <c r="K389" s="10" t="str">
        <f aca="false">IF(J389&lt;&gt;"",J389,IF(I389="","",I389*IFERROR(INDEX(สินค้า!$G$2:$G$101,MATCH(B389,สินค้า!$A$2:$A$101,0)),0)))</f>
        <v/>
      </c>
      <c r="L389" s="16" t="str">
        <f aca="false">IF(OR(F389="",F389=0,G389=""),"",G389/F389)</f>
        <v/>
      </c>
      <c r="M389" s="16" t="str">
        <f aca="false">IF(OR(G389="",G389=0,H389=""),"",H389/G389)</f>
        <v/>
      </c>
    </row>
    <row r="390" customFormat="false" ht="15" hidden="false" customHeight="false" outlineLevel="0" collapsed="false">
      <c r="A390" s="12"/>
      <c r="B390" s="6"/>
      <c r="C390" s="13" t="str">
        <f aca="false">IF(B390="","",IFERROR(INDEX(สินค้า!$B$2:$B$101,MATCH(B390,สินค้า!$A$2:$A$101,0)),"ไม่พบรหัส"))</f>
        <v/>
      </c>
      <c r="D390" s="14" t="str">
        <f aca="false">IF(B390="","",IFERROR(INDEX(สินค้า!$D$2:$D$101,MATCH(B390,สินค้า!$A$2:$A$101,0)),""))</f>
        <v/>
      </c>
      <c r="E390" s="6"/>
      <c r="F390" s="8"/>
      <c r="G390" s="8"/>
      <c r="H390" s="8"/>
      <c r="I390" s="15"/>
      <c r="J390" s="15"/>
      <c r="K390" s="10" t="str">
        <f aca="false">IF(J390&lt;&gt;"",J390,IF(I390="","",I390*IFERROR(INDEX(สินค้า!$G$2:$G$101,MATCH(B390,สินค้า!$A$2:$A$101,0)),0)))</f>
        <v/>
      </c>
      <c r="L390" s="16" t="str">
        <f aca="false">IF(OR(F390="",F390=0,G390=""),"",G390/F390)</f>
        <v/>
      </c>
      <c r="M390" s="16" t="str">
        <f aca="false">IF(OR(G390="",G390=0,H390=""),"",H390/G390)</f>
        <v/>
      </c>
    </row>
    <row r="391" customFormat="false" ht="15" hidden="false" customHeight="false" outlineLevel="0" collapsed="false">
      <c r="A391" s="12"/>
      <c r="B391" s="6"/>
      <c r="C391" s="13" t="str">
        <f aca="false">IF(B391="","",IFERROR(INDEX(สินค้า!$B$2:$B$101,MATCH(B391,สินค้า!$A$2:$A$101,0)),"ไม่พบรหัส"))</f>
        <v/>
      </c>
      <c r="D391" s="14" t="str">
        <f aca="false">IF(B391="","",IFERROR(INDEX(สินค้า!$D$2:$D$101,MATCH(B391,สินค้า!$A$2:$A$101,0)),""))</f>
        <v/>
      </c>
      <c r="E391" s="6"/>
      <c r="F391" s="8"/>
      <c r="G391" s="8"/>
      <c r="H391" s="8"/>
      <c r="I391" s="15"/>
      <c r="J391" s="15"/>
      <c r="K391" s="10" t="str">
        <f aca="false">IF(J391&lt;&gt;"",J391,IF(I391="","",I391*IFERROR(INDEX(สินค้า!$G$2:$G$101,MATCH(B391,สินค้า!$A$2:$A$101,0)),0)))</f>
        <v/>
      </c>
      <c r="L391" s="16" t="str">
        <f aca="false">IF(OR(F391="",F391=0,G391=""),"",G391/F391)</f>
        <v/>
      </c>
      <c r="M391" s="16" t="str">
        <f aca="false">IF(OR(G391="",G391=0,H391=""),"",H391/G391)</f>
        <v/>
      </c>
    </row>
    <row r="392" customFormat="false" ht="15" hidden="false" customHeight="false" outlineLevel="0" collapsed="false">
      <c r="A392" s="12"/>
      <c r="B392" s="6"/>
      <c r="C392" s="13" t="str">
        <f aca="false">IF(B392="","",IFERROR(INDEX(สินค้า!$B$2:$B$101,MATCH(B392,สินค้า!$A$2:$A$101,0)),"ไม่พบรหัส"))</f>
        <v/>
      </c>
      <c r="D392" s="14" t="str">
        <f aca="false">IF(B392="","",IFERROR(INDEX(สินค้า!$D$2:$D$101,MATCH(B392,สินค้า!$A$2:$A$101,0)),""))</f>
        <v/>
      </c>
      <c r="E392" s="6"/>
      <c r="F392" s="8"/>
      <c r="G392" s="8"/>
      <c r="H392" s="8"/>
      <c r="I392" s="15"/>
      <c r="J392" s="15"/>
      <c r="K392" s="10" t="str">
        <f aca="false">IF(J392&lt;&gt;"",J392,IF(I392="","",I392*IFERROR(INDEX(สินค้า!$G$2:$G$101,MATCH(B392,สินค้า!$A$2:$A$101,0)),0)))</f>
        <v/>
      </c>
      <c r="L392" s="16" t="str">
        <f aca="false">IF(OR(F392="",F392=0,G392=""),"",G392/F392)</f>
        <v/>
      </c>
      <c r="M392" s="16" t="str">
        <f aca="false">IF(OR(G392="",G392=0,H392=""),"",H392/G392)</f>
        <v/>
      </c>
    </row>
    <row r="393" customFormat="false" ht="15" hidden="false" customHeight="false" outlineLevel="0" collapsed="false">
      <c r="A393" s="12"/>
      <c r="B393" s="6"/>
      <c r="C393" s="13" t="str">
        <f aca="false">IF(B393="","",IFERROR(INDEX(สินค้า!$B$2:$B$101,MATCH(B393,สินค้า!$A$2:$A$101,0)),"ไม่พบรหัส"))</f>
        <v/>
      </c>
      <c r="D393" s="14" t="str">
        <f aca="false">IF(B393="","",IFERROR(INDEX(สินค้า!$D$2:$D$101,MATCH(B393,สินค้า!$A$2:$A$101,0)),""))</f>
        <v/>
      </c>
      <c r="E393" s="6"/>
      <c r="F393" s="8"/>
      <c r="G393" s="8"/>
      <c r="H393" s="8"/>
      <c r="I393" s="15"/>
      <c r="J393" s="15"/>
      <c r="K393" s="10" t="str">
        <f aca="false">IF(J393&lt;&gt;"",J393,IF(I393="","",I393*IFERROR(INDEX(สินค้า!$G$2:$G$101,MATCH(B393,สินค้า!$A$2:$A$101,0)),0)))</f>
        <v/>
      </c>
      <c r="L393" s="16" t="str">
        <f aca="false">IF(OR(F393="",F393=0,G393=""),"",G393/F393)</f>
        <v/>
      </c>
      <c r="M393" s="16" t="str">
        <f aca="false">IF(OR(G393="",G393=0,H393=""),"",H393/G393)</f>
        <v/>
      </c>
    </row>
    <row r="394" customFormat="false" ht="15" hidden="false" customHeight="false" outlineLevel="0" collapsed="false">
      <c r="A394" s="12"/>
      <c r="B394" s="6"/>
      <c r="C394" s="13" t="str">
        <f aca="false">IF(B394="","",IFERROR(INDEX(สินค้า!$B$2:$B$101,MATCH(B394,สินค้า!$A$2:$A$101,0)),"ไม่พบรหัส"))</f>
        <v/>
      </c>
      <c r="D394" s="14" t="str">
        <f aca="false">IF(B394="","",IFERROR(INDEX(สินค้า!$D$2:$D$101,MATCH(B394,สินค้า!$A$2:$A$101,0)),""))</f>
        <v/>
      </c>
      <c r="E394" s="6"/>
      <c r="F394" s="8"/>
      <c r="G394" s="8"/>
      <c r="H394" s="8"/>
      <c r="I394" s="15"/>
      <c r="J394" s="15"/>
      <c r="K394" s="10" t="str">
        <f aca="false">IF(J394&lt;&gt;"",J394,IF(I394="","",I394*IFERROR(INDEX(สินค้า!$G$2:$G$101,MATCH(B394,สินค้า!$A$2:$A$101,0)),0)))</f>
        <v/>
      </c>
      <c r="L394" s="16" t="str">
        <f aca="false">IF(OR(F394="",F394=0,G394=""),"",G394/F394)</f>
        <v/>
      </c>
      <c r="M394" s="16" t="str">
        <f aca="false">IF(OR(G394="",G394=0,H394=""),"",H394/G394)</f>
        <v/>
      </c>
    </row>
    <row r="395" customFormat="false" ht="15" hidden="false" customHeight="false" outlineLevel="0" collapsed="false">
      <c r="A395" s="12"/>
      <c r="B395" s="6"/>
      <c r="C395" s="13" t="str">
        <f aca="false">IF(B395="","",IFERROR(INDEX(สินค้า!$B$2:$B$101,MATCH(B395,สินค้า!$A$2:$A$101,0)),"ไม่พบรหัส"))</f>
        <v/>
      </c>
      <c r="D395" s="14" t="str">
        <f aca="false">IF(B395="","",IFERROR(INDEX(สินค้า!$D$2:$D$101,MATCH(B395,สินค้า!$A$2:$A$101,0)),""))</f>
        <v/>
      </c>
      <c r="E395" s="6"/>
      <c r="F395" s="8"/>
      <c r="G395" s="8"/>
      <c r="H395" s="8"/>
      <c r="I395" s="15"/>
      <c r="J395" s="15"/>
      <c r="K395" s="10" t="str">
        <f aca="false">IF(J395&lt;&gt;"",J395,IF(I395="","",I395*IFERROR(INDEX(สินค้า!$G$2:$G$101,MATCH(B395,สินค้า!$A$2:$A$101,0)),0)))</f>
        <v/>
      </c>
      <c r="L395" s="16" t="str">
        <f aca="false">IF(OR(F395="",F395=0,G395=""),"",G395/F395)</f>
        <v/>
      </c>
      <c r="M395" s="16" t="str">
        <f aca="false">IF(OR(G395="",G395=0,H395=""),"",H395/G395)</f>
        <v/>
      </c>
    </row>
    <row r="396" customFormat="false" ht="15" hidden="false" customHeight="false" outlineLevel="0" collapsed="false">
      <c r="A396" s="12"/>
      <c r="B396" s="6"/>
      <c r="C396" s="13" t="str">
        <f aca="false">IF(B396="","",IFERROR(INDEX(สินค้า!$B$2:$B$101,MATCH(B396,สินค้า!$A$2:$A$101,0)),"ไม่พบรหัส"))</f>
        <v/>
      </c>
      <c r="D396" s="14" t="str">
        <f aca="false">IF(B396="","",IFERROR(INDEX(สินค้า!$D$2:$D$101,MATCH(B396,สินค้า!$A$2:$A$101,0)),""))</f>
        <v/>
      </c>
      <c r="E396" s="6"/>
      <c r="F396" s="8"/>
      <c r="G396" s="8"/>
      <c r="H396" s="8"/>
      <c r="I396" s="15"/>
      <c r="J396" s="15"/>
      <c r="K396" s="10" t="str">
        <f aca="false">IF(J396&lt;&gt;"",J396,IF(I396="","",I396*IFERROR(INDEX(สินค้า!$G$2:$G$101,MATCH(B396,สินค้า!$A$2:$A$101,0)),0)))</f>
        <v/>
      </c>
      <c r="L396" s="16" t="str">
        <f aca="false">IF(OR(F396="",F396=0,G396=""),"",G396/F396)</f>
        <v/>
      </c>
      <c r="M396" s="16" t="str">
        <f aca="false">IF(OR(G396="",G396=0,H396=""),"",H396/G396)</f>
        <v/>
      </c>
    </row>
    <row r="397" customFormat="false" ht="15" hidden="false" customHeight="false" outlineLevel="0" collapsed="false">
      <c r="A397" s="12"/>
      <c r="B397" s="6"/>
      <c r="C397" s="13" t="str">
        <f aca="false">IF(B397="","",IFERROR(INDEX(สินค้า!$B$2:$B$101,MATCH(B397,สินค้า!$A$2:$A$101,0)),"ไม่พบรหัส"))</f>
        <v/>
      </c>
      <c r="D397" s="14" t="str">
        <f aca="false">IF(B397="","",IFERROR(INDEX(สินค้า!$D$2:$D$101,MATCH(B397,สินค้า!$A$2:$A$101,0)),""))</f>
        <v/>
      </c>
      <c r="E397" s="6"/>
      <c r="F397" s="8"/>
      <c r="G397" s="8"/>
      <c r="H397" s="8"/>
      <c r="I397" s="15"/>
      <c r="J397" s="15"/>
      <c r="K397" s="10" t="str">
        <f aca="false">IF(J397&lt;&gt;"",J397,IF(I397="","",I397*IFERROR(INDEX(สินค้า!$G$2:$G$101,MATCH(B397,สินค้า!$A$2:$A$101,0)),0)))</f>
        <v/>
      </c>
      <c r="L397" s="16" t="str">
        <f aca="false">IF(OR(F397="",F397=0,G397=""),"",G397/F397)</f>
        <v/>
      </c>
      <c r="M397" s="16" t="str">
        <f aca="false">IF(OR(G397="",G397=0,H397=""),"",H397/G397)</f>
        <v/>
      </c>
    </row>
    <row r="398" customFormat="false" ht="15" hidden="false" customHeight="false" outlineLevel="0" collapsed="false">
      <c r="A398" s="12"/>
      <c r="B398" s="6"/>
      <c r="C398" s="13" t="str">
        <f aca="false">IF(B398="","",IFERROR(INDEX(สินค้า!$B$2:$B$101,MATCH(B398,สินค้า!$A$2:$A$101,0)),"ไม่พบรหัส"))</f>
        <v/>
      </c>
      <c r="D398" s="14" t="str">
        <f aca="false">IF(B398="","",IFERROR(INDEX(สินค้า!$D$2:$D$101,MATCH(B398,สินค้า!$A$2:$A$101,0)),""))</f>
        <v/>
      </c>
      <c r="E398" s="6"/>
      <c r="F398" s="8"/>
      <c r="G398" s="8"/>
      <c r="H398" s="8"/>
      <c r="I398" s="15"/>
      <c r="J398" s="15"/>
      <c r="K398" s="10" t="str">
        <f aca="false">IF(J398&lt;&gt;"",J398,IF(I398="","",I398*IFERROR(INDEX(สินค้า!$G$2:$G$101,MATCH(B398,สินค้า!$A$2:$A$101,0)),0)))</f>
        <v/>
      </c>
      <c r="L398" s="16" t="str">
        <f aca="false">IF(OR(F398="",F398=0,G398=""),"",G398/F398)</f>
        <v/>
      </c>
      <c r="M398" s="16" t="str">
        <f aca="false">IF(OR(G398="",G398=0,H398=""),"",H398/G398)</f>
        <v/>
      </c>
    </row>
    <row r="399" customFormat="false" ht="15" hidden="false" customHeight="false" outlineLevel="0" collapsed="false">
      <c r="A399" s="12"/>
      <c r="B399" s="6"/>
      <c r="C399" s="13" t="str">
        <f aca="false">IF(B399="","",IFERROR(INDEX(สินค้า!$B$2:$B$101,MATCH(B399,สินค้า!$A$2:$A$101,0)),"ไม่พบรหัส"))</f>
        <v/>
      </c>
      <c r="D399" s="14" t="str">
        <f aca="false">IF(B399="","",IFERROR(INDEX(สินค้า!$D$2:$D$101,MATCH(B399,สินค้า!$A$2:$A$101,0)),""))</f>
        <v/>
      </c>
      <c r="E399" s="6"/>
      <c r="F399" s="8"/>
      <c r="G399" s="8"/>
      <c r="H399" s="8"/>
      <c r="I399" s="15"/>
      <c r="J399" s="15"/>
      <c r="K399" s="10" t="str">
        <f aca="false">IF(J399&lt;&gt;"",J399,IF(I399="","",I399*IFERROR(INDEX(สินค้า!$G$2:$G$101,MATCH(B399,สินค้า!$A$2:$A$101,0)),0)))</f>
        <v/>
      </c>
      <c r="L399" s="16" t="str">
        <f aca="false">IF(OR(F399="",F399=0,G399=""),"",G399/F399)</f>
        <v/>
      </c>
      <c r="M399" s="16" t="str">
        <f aca="false">IF(OR(G399="",G399=0,H399=""),"",H399/G399)</f>
        <v/>
      </c>
    </row>
    <row r="400" customFormat="false" ht="15" hidden="false" customHeight="false" outlineLevel="0" collapsed="false">
      <c r="A400" s="12"/>
      <c r="B400" s="6"/>
      <c r="C400" s="13" t="str">
        <f aca="false">IF(B400="","",IFERROR(INDEX(สินค้า!$B$2:$B$101,MATCH(B400,สินค้า!$A$2:$A$101,0)),"ไม่พบรหัส"))</f>
        <v/>
      </c>
      <c r="D400" s="14" t="str">
        <f aca="false">IF(B400="","",IFERROR(INDEX(สินค้า!$D$2:$D$101,MATCH(B400,สินค้า!$A$2:$A$101,0)),""))</f>
        <v/>
      </c>
      <c r="E400" s="6"/>
      <c r="F400" s="8"/>
      <c r="G400" s="8"/>
      <c r="H400" s="8"/>
      <c r="I400" s="15"/>
      <c r="J400" s="15"/>
      <c r="K400" s="10" t="str">
        <f aca="false">IF(J400&lt;&gt;"",J400,IF(I400="","",I400*IFERROR(INDEX(สินค้า!$G$2:$G$101,MATCH(B400,สินค้า!$A$2:$A$101,0)),0)))</f>
        <v/>
      </c>
      <c r="L400" s="16" t="str">
        <f aca="false">IF(OR(F400="",F400=0,G400=""),"",G400/F400)</f>
        <v/>
      </c>
      <c r="M400" s="16" t="str">
        <f aca="false">IF(OR(G400="",G400=0,H400=""),"",H400/G400)</f>
        <v/>
      </c>
    </row>
    <row r="401" customFormat="false" ht="15" hidden="false" customHeight="false" outlineLevel="0" collapsed="false">
      <c r="A401" s="12"/>
      <c r="B401" s="6"/>
      <c r="C401" s="13" t="str">
        <f aca="false">IF(B401="","",IFERROR(INDEX(สินค้า!$B$2:$B$101,MATCH(B401,สินค้า!$A$2:$A$101,0)),"ไม่พบรหัส"))</f>
        <v/>
      </c>
      <c r="D401" s="14" t="str">
        <f aca="false">IF(B401="","",IFERROR(INDEX(สินค้า!$D$2:$D$101,MATCH(B401,สินค้า!$A$2:$A$101,0)),""))</f>
        <v/>
      </c>
      <c r="E401" s="6"/>
      <c r="F401" s="8"/>
      <c r="G401" s="8"/>
      <c r="H401" s="8"/>
      <c r="I401" s="15"/>
      <c r="J401" s="15"/>
      <c r="K401" s="10" t="str">
        <f aca="false">IF(J401&lt;&gt;"",J401,IF(I401="","",I401*IFERROR(INDEX(สินค้า!$G$2:$G$101,MATCH(B401,สินค้า!$A$2:$A$101,0)),0)))</f>
        <v/>
      </c>
      <c r="L401" s="16" t="str">
        <f aca="false">IF(OR(F401="",F401=0,G401=""),"",G401/F401)</f>
        <v/>
      </c>
      <c r="M401" s="16" t="str">
        <f aca="false">IF(OR(G401="",G401=0,H401=""),"",H401/G401)</f>
        <v/>
      </c>
    </row>
    <row r="402" customFormat="false" ht="15" hidden="false" customHeight="false" outlineLevel="0" collapsed="false">
      <c r="A402" s="12"/>
      <c r="B402" s="6"/>
      <c r="C402" s="13" t="str">
        <f aca="false">IF(B402="","",IFERROR(INDEX(สินค้า!$B$2:$B$101,MATCH(B402,สินค้า!$A$2:$A$101,0)),"ไม่พบรหัส"))</f>
        <v/>
      </c>
      <c r="D402" s="14" t="str">
        <f aca="false">IF(B402="","",IFERROR(INDEX(สินค้า!$D$2:$D$101,MATCH(B402,สินค้า!$A$2:$A$101,0)),""))</f>
        <v/>
      </c>
      <c r="E402" s="6"/>
      <c r="F402" s="8"/>
      <c r="G402" s="8"/>
      <c r="H402" s="8"/>
      <c r="I402" s="15"/>
      <c r="J402" s="15"/>
      <c r="K402" s="10" t="str">
        <f aca="false">IF(J402&lt;&gt;"",J402,IF(I402="","",I402*IFERROR(INDEX(สินค้า!$G$2:$G$101,MATCH(B402,สินค้า!$A$2:$A$101,0)),0)))</f>
        <v/>
      </c>
      <c r="L402" s="16" t="str">
        <f aca="false">IF(OR(F402="",F402=0,G402=""),"",G402/F402)</f>
        <v/>
      </c>
      <c r="M402" s="16" t="str">
        <f aca="false">IF(OR(G402="",G402=0,H402=""),"",H402/G402)</f>
        <v/>
      </c>
    </row>
    <row r="403" customFormat="false" ht="15" hidden="false" customHeight="false" outlineLevel="0" collapsed="false">
      <c r="A403" s="12"/>
      <c r="B403" s="6"/>
      <c r="C403" s="13" t="str">
        <f aca="false">IF(B403="","",IFERROR(INDEX(สินค้า!$B$2:$B$101,MATCH(B403,สินค้า!$A$2:$A$101,0)),"ไม่พบรหัส"))</f>
        <v/>
      </c>
      <c r="D403" s="14" t="str">
        <f aca="false">IF(B403="","",IFERROR(INDEX(สินค้า!$D$2:$D$101,MATCH(B403,สินค้า!$A$2:$A$101,0)),""))</f>
        <v/>
      </c>
      <c r="E403" s="6"/>
      <c r="F403" s="8"/>
      <c r="G403" s="8"/>
      <c r="H403" s="8"/>
      <c r="I403" s="15"/>
      <c r="J403" s="15"/>
      <c r="K403" s="10" t="str">
        <f aca="false">IF(J403&lt;&gt;"",J403,IF(I403="","",I403*IFERROR(INDEX(สินค้า!$G$2:$G$101,MATCH(B403,สินค้า!$A$2:$A$101,0)),0)))</f>
        <v/>
      </c>
      <c r="L403" s="16" t="str">
        <f aca="false">IF(OR(F403="",F403=0,G403=""),"",G403/F403)</f>
        <v/>
      </c>
      <c r="M403" s="16" t="str">
        <f aca="false">IF(OR(G403="",G403=0,H403=""),"",H403/G403)</f>
        <v/>
      </c>
    </row>
    <row r="404" customFormat="false" ht="15" hidden="false" customHeight="false" outlineLevel="0" collapsed="false">
      <c r="A404" s="12"/>
      <c r="B404" s="6"/>
      <c r="C404" s="13" t="str">
        <f aca="false">IF(B404="","",IFERROR(INDEX(สินค้า!$B$2:$B$101,MATCH(B404,สินค้า!$A$2:$A$101,0)),"ไม่พบรหัส"))</f>
        <v/>
      </c>
      <c r="D404" s="14" t="str">
        <f aca="false">IF(B404="","",IFERROR(INDEX(สินค้า!$D$2:$D$101,MATCH(B404,สินค้า!$A$2:$A$101,0)),""))</f>
        <v/>
      </c>
      <c r="E404" s="6"/>
      <c r="F404" s="8"/>
      <c r="G404" s="8"/>
      <c r="H404" s="8"/>
      <c r="I404" s="15"/>
      <c r="J404" s="15"/>
      <c r="K404" s="10" t="str">
        <f aca="false">IF(J404&lt;&gt;"",J404,IF(I404="","",I404*IFERROR(INDEX(สินค้า!$G$2:$G$101,MATCH(B404,สินค้า!$A$2:$A$101,0)),0)))</f>
        <v/>
      </c>
      <c r="L404" s="16" t="str">
        <f aca="false">IF(OR(F404="",F404=0,G404=""),"",G404/F404)</f>
        <v/>
      </c>
      <c r="M404" s="16" t="str">
        <f aca="false">IF(OR(G404="",G404=0,H404=""),"",H404/G404)</f>
        <v/>
      </c>
    </row>
    <row r="405" customFormat="false" ht="15" hidden="false" customHeight="false" outlineLevel="0" collapsed="false">
      <c r="A405" s="12"/>
      <c r="B405" s="6"/>
      <c r="C405" s="13" t="str">
        <f aca="false">IF(B405="","",IFERROR(INDEX(สินค้า!$B$2:$B$101,MATCH(B405,สินค้า!$A$2:$A$101,0)),"ไม่พบรหัส"))</f>
        <v/>
      </c>
      <c r="D405" s="14" t="str">
        <f aca="false">IF(B405="","",IFERROR(INDEX(สินค้า!$D$2:$D$101,MATCH(B405,สินค้า!$A$2:$A$101,0)),""))</f>
        <v/>
      </c>
      <c r="E405" s="6"/>
      <c r="F405" s="8"/>
      <c r="G405" s="8"/>
      <c r="H405" s="8"/>
      <c r="I405" s="15"/>
      <c r="J405" s="15"/>
      <c r="K405" s="10" t="str">
        <f aca="false">IF(J405&lt;&gt;"",J405,IF(I405="","",I405*IFERROR(INDEX(สินค้า!$G$2:$G$101,MATCH(B405,สินค้า!$A$2:$A$101,0)),0)))</f>
        <v/>
      </c>
      <c r="L405" s="16" t="str">
        <f aca="false">IF(OR(F405="",F405=0,G405=""),"",G405/F405)</f>
        <v/>
      </c>
      <c r="M405" s="16" t="str">
        <f aca="false">IF(OR(G405="",G405=0,H405=""),"",H405/G405)</f>
        <v/>
      </c>
    </row>
    <row r="406" customFormat="false" ht="15" hidden="false" customHeight="false" outlineLevel="0" collapsed="false">
      <c r="A406" s="12"/>
      <c r="B406" s="6"/>
      <c r="C406" s="13" t="str">
        <f aca="false">IF(B406="","",IFERROR(INDEX(สินค้า!$B$2:$B$101,MATCH(B406,สินค้า!$A$2:$A$101,0)),"ไม่พบรหัส"))</f>
        <v/>
      </c>
      <c r="D406" s="14" t="str">
        <f aca="false">IF(B406="","",IFERROR(INDEX(สินค้า!$D$2:$D$101,MATCH(B406,สินค้า!$A$2:$A$101,0)),""))</f>
        <v/>
      </c>
      <c r="E406" s="6"/>
      <c r="F406" s="8"/>
      <c r="G406" s="8"/>
      <c r="H406" s="8"/>
      <c r="I406" s="15"/>
      <c r="J406" s="15"/>
      <c r="K406" s="10" t="str">
        <f aca="false">IF(J406&lt;&gt;"",J406,IF(I406="","",I406*IFERROR(INDEX(สินค้า!$G$2:$G$101,MATCH(B406,สินค้า!$A$2:$A$101,0)),0)))</f>
        <v/>
      </c>
      <c r="L406" s="16" t="str">
        <f aca="false">IF(OR(F406="",F406=0,G406=""),"",G406/F406)</f>
        <v/>
      </c>
      <c r="M406" s="16" t="str">
        <f aca="false">IF(OR(G406="",G406=0,H406=""),"",H406/G406)</f>
        <v/>
      </c>
    </row>
    <row r="407" customFormat="false" ht="15" hidden="false" customHeight="false" outlineLevel="0" collapsed="false">
      <c r="A407" s="12"/>
      <c r="B407" s="6"/>
      <c r="C407" s="13" t="str">
        <f aca="false">IF(B407="","",IFERROR(INDEX(สินค้า!$B$2:$B$101,MATCH(B407,สินค้า!$A$2:$A$101,0)),"ไม่พบรหัส"))</f>
        <v/>
      </c>
      <c r="D407" s="14" t="str">
        <f aca="false">IF(B407="","",IFERROR(INDEX(สินค้า!$D$2:$D$101,MATCH(B407,สินค้า!$A$2:$A$101,0)),""))</f>
        <v/>
      </c>
      <c r="E407" s="6"/>
      <c r="F407" s="8"/>
      <c r="G407" s="8"/>
      <c r="H407" s="8"/>
      <c r="I407" s="15"/>
      <c r="J407" s="15"/>
      <c r="K407" s="10" t="str">
        <f aca="false">IF(J407&lt;&gt;"",J407,IF(I407="","",I407*IFERROR(INDEX(สินค้า!$G$2:$G$101,MATCH(B407,สินค้า!$A$2:$A$101,0)),0)))</f>
        <v/>
      </c>
      <c r="L407" s="16" t="str">
        <f aca="false">IF(OR(F407="",F407=0,G407=""),"",G407/F407)</f>
        <v/>
      </c>
      <c r="M407" s="16" t="str">
        <f aca="false">IF(OR(G407="",G407=0,H407=""),"",H407/G407)</f>
        <v/>
      </c>
    </row>
    <row r="408" customFormat="false" ht="15" hidden="false" customHeight="false" outlineLevel="0" collapsed="false">
      <c r="A408" s="12"/>
      <c r="B408" s="6"/>
      <c r="C408" s="13" t="str">
        <f aca="false">IF(B408="","",IFERROR(INDEX(สินค้า!$B$2:$B$101,MATCH(B408,สินค้า!$A$2:$A$101,0)),"ไม่พบรหัส"))</f>
        <v/>
      </c>
      <c r="D408" s="14" t="str">
        <f aca="false">IF(B408="","",IFERROR(INDEX(สินค้า!$D$2:$D$101,MATCH(B408,สินค้า!$A$2:$A$101,0)),""))</f>
        <v/>
      </c>
      <c r="E408" s="6"/>
      <c r="F408" s="8"/>
      <c r="G408" s="8"/>
      <c r="H408" s="8"/>
      <c r="I408" s="15"/>
      <c r="J408" s="15"/>
      <c r="K408" s="10" t="str">
        <f aca="false">IF(J408&lt;&gt;"",J408,IF(I408="","",I408*IFERROR(INDEX(สินค้า!$G$2:$G$101,MATCH(B408,สินค้า!$A$2:$A$101,0)),0)))</f>
        <v/>
      </c>
      <c r="L408" s="16" t="str">
        <f aca="false">IF(OR(F408="",F408=0,G408=""),"",G408/F408)</f>
        <v/>
      </c>
      <c r="M408" s="16" t="str">
        <f aca="false">IF(OR(G408="",G408=0,H408=""),"",H408/G408)</f>
        <v/>
      </c>
    </row>
    <row r="409" customFormat="false" ht="15" hidden="false" customHeight="false" outlineLevel="0" collapsed="false">
      <c r="A409" s="12"/>
      <c r="B409" s="6"/>
      <c r="C409" s="13" t="str">
        <f aca="false">IF(B409="","",IFERROR(INDEX(สินค้า!$B$2:$B$101,MATCH(B409,สินค้า!$A$2:$A$101,0)),"ไม่พบรหัส"))</f>
        <v/>
      </c>
      <c r="D409" s="14" t="str">
        <f aca="false">IF(B409="","",IFERROR(INDEX(สินค้า!$D$2:$D$101,MATCH(B409,สินค้า!$A$2:$A$101,0)),""))</f>
        <v/>
      </c>
      <c r="E409" s="6"/>
      <c r="F409" s="8"/>
      <c r="G409" s="8"/>
      <c r="H409" s="8"/>
      <c r="I409" s="15"/>
      <c r="J409" s="15"/>
      <c r="K409" s="10" t="str">
        <f aca="false">IF(J409&lt;&gt;"",J409,IF(I409="","",I409*IFERROR(INDEX(สินค้า!$G$2:$G$101,MATCH(B409,สินค้า!$A$2:$A$101,0)),0)))</f>
        <v/>
      </c>
      <c r="L409" s="16" t="str">
        <f aca="false">IF(OR(F409="",F409=0,G409=""),"",G409/F409)</f>
        <v/>
      </c>
      <c r="M409" s="16" t="str">
        <f aca="false">IF(OR(G409="",G409=0,H409=""),"",H409/G409)</f>
        <v/>
      </c>
    </row>
    <row r="410" customFormat="false" ht="15" hidden="false" customHeight="false" outlineLevel="0" collapsed="false">
      <c r="A410" s="12"/>
      <c r="B410" s="6"/>
      <c r="C410" s="13" t="str">
        <f aca="false">IF(B410="","",IFERROR(INDEX(สินค้า!$B$2:$B$101,MATCH(B410,สินค้า!$A$2:$A$101,0)),"ไม่พบรหัส"))</f>
        <v/>
      </c>
      <c r="D410" s="14" t="str">
        <f aca="false">IF(B410="","",IFERROR(INDEX(สินค้า!$D$2:$D$101,MATCH(B410,สินค้า!$A$2:$A$101,0)),""))</f>
        <v/>
      </c>
      <c r="E410" s="6"/>
      <c r="F410" s="8"/>
      <c r="G410" s="8"/>
      <c r="H410" s="8"/>
      <c r="I410" s="15"/>
      <c r="J410" s="15"/>
      <c r="K410" s="10" t="str">
        <f aca="false">IF(J410&lt;&gt;"",J410,IF(I410="","",I410*IFERROR(INDEX(สินค้า!$G$2:$G$101,MATCH(B410,สินค้า!$A$2:$A$101,0)),0)))</f>
        <v/>
      </c>
      <c r="L410" s="16" t="str">
        <f aca="false">IF(OR(F410="",F410=0,G410=""),"",G410/F410)</f>
        <v/>
      </c>
      <c r="M410" s="16" t="str">
        <f aca="false">IF(OR(G410="",G410=0,H410=""),"",H410/G410)</f>
        <v/>
      </c>
    </row>
    <row r="411" customFormat="false" ht="15" hidden="false" customHeight="false" outlineLevel="0" collapsed="false">
      <c r="A411" s="12"/>
      <c r="B411" s="6"/>
      <c r="C411" s="13" t="str">
        <f aca="false">IF(B411="","",IFERROR(INDEX(สินค้า!$B$2:$B$101,MATCH(B411,สินค้า!$A$2:$A$101,0)),"ไม่พบรหัส"))</f>
        <v/>
      </c>
      <c r="D411" s="14" t="str">
        <f aca="false">IF(B411="","",IFERROR(INDEX(สินค้า!$D$2:$D$101,MATCH(B411,สินค้า!$A$2:$A$101,0)),""))</f>
        <v/>
      </c>
      <c r="E411" s="6"/>
      <c r="F411" s="8"/>
      <c r="G411" s="8"/>
      <c r="H411" s="8"/>
      <c r="I411" s="15"/>
      <c r="J411" s="15"/>
      <c r="K411" s="10" t="str">
        <f aca="false">IF(J411&lt;&gt;"",J411,IF(I411="","",I411*IFERROR(INDEX(สินค้า!$G$2:$G$101,MATCH(B411,สินค้า!$A$2:$A$101,0)),0)))</f>
        <v/>
      </c>
      <c r="L411" s="16" t="str">
        <f aca="false">IF(OR(F411="",F411=0,G411=""),"",G411/F411)</f>
        <v/>
      </c>
      <c r="M411" s="16" t="str">
        <f aca="false">IF(OR(G411="",G411=0,H411=""),"",H411/G411)</f>
        <v/>
      </c>
    </row>
    <row r="412" customFormat="false" ht="15" hidden="false" customHeight="false" outlineLevel="0" collapsed="false">
      <c r="A412" s="12"/>
      <c r="B412" s="6"/>
      <c r="C412" s="13" t="str">
        <f aca="false">IF(B412="","",IFERROR(INDEX(สินค้า!$B$2:$B$101,MATCH(B412,สินค้า!$A$2:$A$101,0)),"ไม่พบรหัส"))</f>
        <v/>
      </c>
      <c r="D412" s="14" t="str">
        <f aca="false">IF(B412="","",IFERROR(INDEX(สินค้า!$D$2:$D$101,MATCH(B412,สินค้า!$A$2:$A$101,0)),""))</f>
        <v/>
      </c>
      <c r="E412" s="6"/>
      <c r="F412" s="8"/>
      <c r="G412" s="8"/>
      <c r="H412" s="8"/>
      <c r="I412" s="15"/>
      <c r="J412" s="15"/>
      <c r="K412" s="10" t="str">
        <f aca="false">IF(J412&lt;&gt;"",J412,IF(I412="","",I412*IFERROR(INDEX(สินค้า!$G$2:$G$101,MATCH(B412,สินค้า!$A$2:$A$101,0)),0)))</f>
        <v/>
      </c>
      <c r="L412" s="16" t="str">
        <f aca="false">IF(OR(F412="",F412=0,G412=""),"",G412/F412)</f>
        <v/>
      </c>
      <c r="M412" s="16" t="str">
        <f aca="false">IF(OR(G412="",G412=0,H412=""),"",H412/G412)</f>
        <v/>
      </c>
    </row>
    <row r="413" customFormat="false" ht="15" hidden="false" customHeight="false" outlineLevel="0" collapsed="false">
      <c r="A413" s="12"/>
      <c r="B413" s="6"/>
      <c r="C413" s="13" t="str">
        <f aca="false">IF(B413="","",IFERROR(INDEX(สินค้า!$B$2:$B$101,MATCH(B413,สินค้า!$A$2:$A$101,0)),"ไม่พบรหัส"))</f>
        <v/>
      </c>
      <c r="D413" s="14" t="str">
        <f aca="false">IF(B413="","",IFERROR(INDEX(สินค้า!$D$2:$D$101,MATCH(B413,สินค้า!$A$2:$A$101,0)),""))</f>
        <v/>
      </c>
      <c r="E413" s="6"/>
      <c r="F413" s="8"/>
      <c r="G413" s="8"/>
      <c r="H413" s="8"/>
      <c r="I413" s="15"/>
      <c r="J413" s="15"/>
      <c r="K413" s="10" t="str">
        <f aca="false">IF(J413&lt;&gt;"",J413,IF(I413="","",I413*IFERROR(INDEX(สินค้า!$G$2:$G$101,MATCH(B413,สินค้า!$A$2:$A$101,0)),0)))</f>
        <v/>
      </c>
      <c r="L413" s="16" t="str">
        <f aca="false">IF(OR(F413="",F413=0,G413=""),"",G413/F413)</f>
        <v/>
      </c>
      <c r="M413" s="16" t="str">
        <f aca="false">IF(OR(G413="",G413=0,H413=""),"",H413/G413)</f>
        <v/>
      </c>
    </row>
    <row r="414" customFormat="false" ht="15" hidden="false" customHeight="false" outlineLevel="0" collapsed="false">
      <c r="A414" s="12"/>
      <c r="B414" s="6"/>
      <c r="C414" s="13" t="str">
        <f aca="false">IF(B414="","",IFERROR(INDEX(สินค้า!$B$2:$B$101,MATCH(B414,สินค้า!$A$2:$A$101,0)),"ไม่พบรหัส"))</f>
        <v/>
      </c>
      <c r="D414" s="14" t="str">
        <f aca="false">IF(B414="","",IFERROR(INDEX(สินค้า!$D$2:$D$101,MATCH(B414,สินค้า!$A$2:$A$101,0)),""))</f>
        <v/>
      </c>
      <c r="E414" s="6"/>
      <c r="F414" s="8"/>
      <c r="G414" s="8"/>
      <c r="H414" s="8"/>
      <c r="I414" s="15"/>
      <c r="J414" s="15"/>
      <c r="K414" s="10" t="str">
        <f aca="false">IF(J414&lt;&gt;"",J414,IF(I414="","",I414*IFERROR(INDEX(สินค้า!$G$2:$G$101,MATCH(B414,สินค้า!$A$2:$A$101,0)),0)))</f>
        <v/>
      </c>
      <c r="L414" s="16" t="str">
        <f aca="false">IF(OR(F414="",F414=0,G414=""),"",G414/F414)</f>
        <v/>
      </c>
      <c r="M414" s="16" t="str">
        <f aca="false">IF(OR(G414="",G414=0,H414=""),"",H414/G414)</f>
        <v/>
      </c>
    </row>
    <row r="415" customFormat="false" ht="15" hidden="false" customHeight="false" outlineLevel="0" collapsed="false">
      <c r="A415" s="12"/>
      <c r="B415" s="6"/>
      <c r="C415" s="13" t="str">
        <f aca="false">IF(B415="","",IFERROR(INDEX(สินค้า!$B$2:$B$101,MATCH(B415,สินค้า!$A$2:$A$101,0)),"ไม่พบรหัส"))</f>
        <v/>
      </c>
      <c r="D415" s="14" t="str">
        <f aca="false">IF(B415="","",IFERROR(INDEX(สินค้า!$D$2:$D$101,MATCH(B415,สินค้า!$A$2:$A$101,0)),""))</f>
        <v/>
      </c>
      <c r="E415" s="6"/>
      <c r="F415" s="8"/>
      <c r="G415" s="8"/>
      <c r="H415" s="8"/>
      <c r="I415" s="15"/>
      <c r="J415" s="15"/>
      <c r="K415" s="10" t="str">
        <f aca="false">IF(J415&lt;&gt;"",J415,IF(I415="","",I415*IFERROR(INDEX(สินค้า!$G$2:$G$101,MATCH(B415,สินค้า!$A$2:$A$101,0)),0)))</f>
        <v/>
      </c>
      <c r="L415" s="16" t="str">
        <f aca="false">IF(OR(F415="",F415=0,G415=""),"",G415/F415)</f>
        <v/>
      </c>
      <c r="M415" s="16" t="str">
        <f aca="false">IF(OR(G415="",G415=0,H415=""),"",H415/G415)</f>
        <v/>
      </c>
    </row>
    <row r="416" customFormat="false" ht="15" hidden="false" customHeight="false" outlineLevel="0" collapsed="false">
      <c r="A416" s="12"/>
      <c r="B416" s="6"/>
      <c r="C416" s="13" t="str">
        <f aca="false">IF(B416="","",IFERROR(INDEX(สินค้า!$B$2:$B$101,MATCH(B416,สินค้า!$A$2:$A$101,0)),"ไม่พบรหัส"))</f>
        <v/>
      </c>
      <c r="D416" s="14" t="str">
        <f aca="false">IF(B416="","",IFERROR(INDEX(สินค้า!$D$2:$D$101,MATCH(B416,สินค้า!$A$2:$A$101,0)),""))</f>
        <v/>
      </c>
      <c r="E416" s="6"/>
      <c r="F416" s="8"/>
      <c r="G416" s="8"/>
      <c r="H416" s="8"/>
      <c r="I416" s="15"/>
      <c r="J416" s="15"/>
      <c r="K416" s="10" t="str">
        <f aca="false">IF(J416&lt;&gt;"",J416,IF(I416="","",I416*IFERROR(INDEX(สินค้า!$G$2:$G$101,MATCH(B416,สินค้า!$A$2:$A$101,0)),0)))</f>
        <v/>
      </c>
      <c r="L416" s="16" t="str">
        <f aca="false">IF(OR(F416="",F416=0,G416=""),"",G416/F416)</f>
        <v/>
      </c>
      <c r="M416" s="16" t="str">
        <f aca="false">IF(OR(G416="",G416=0,H416=""),"",H416/G416)</f>
        <v/>
      </c>
    </row>
    <row r="417" customFormat="false" ht="15" hidden="false" customHeight="false" outlineLevel="0" collapsed="false">
      <c r="A417" s="12"/>
      <c r="B417" s="6"/>
      <c r="C417" s="13" t="str">
        <f aca="false">IF(B417="","",IFERROR(INDEX(สินค้า!$B$2:$B$101,MATCH(B417,สินค้า!$A$2:$A$101,0)),"ไม่พบรหัส"))</f>
        <v/>
      </c>
      <c r="D417" s="14" t="str">
        <f aca="false">IF(B417="","",IFERROR(INDEX(สินค้า!$D$2:$D$101,MATCH(B417,สินค้า!$A$2:$A$101,0)),""))</f>
        <v/>
      </c>
      <c r="E417" s="6"/>
      <c r="F417" s="8"/>
      <c r="G417" s="8"/>
      <c r="H417" s="8"/>
      <c r="I417" s="15"/>
      <c r="J417" s="15"/>
      <c r="K417" s="10" t="str">
        <f aca="false">IF(J417&lt;&gt;"",J417,IF(I417="","",I417*IFERROR(INDEX(สินค้า!$G$2:$G$101,MATCH(B417,สินค้า!$A$2:$A$101,0)),0)))</f>
        <v/>
      </c>
      <c r="L417" s="16" t="str">
        <f aca="false">IF(OR(F417="",F417=0,G417=""),"",G417/F417)</f>
        <v/>
      </c>
      <c r="M417" s="16" t="str">
        <f aca="false">IF(OR(G417="",G417=0,H417=""),"",H417/G417)</f>
        <v/>
      </c>
    </row>
    <row r="418" customFormat="false" ht="15" hidden="false" customHeight="false" outlineLevel="0" collapsed="false">
      <c r="A418" s="12"/>
      <c r="B418" s="6"/>
      <c r="C418" s="13" t="str">
        <f aca="false">IF(B418="","",IFERROR(INDEX(สินค้า!$B$2:$B$101,MATCH(B418,สินค้า!$A$2:$A$101,0)),"ไม่พบรหัส"))</f>
        <v/>
      </c>
      <c r="D418" s="14" t="str">
        <f aca="false">IF(B418="","",IFERROR(INDEX(สินค้า!$D$2:$D$101,MATCH(B418,สินค้า!$A$2:$A$101,0)),""))</f>
        <v/>
      </c>
      <c r="E418" s="6"/>
      <c r="F418" s="8"/>
      <c r="G418" s="8"/>
      <c r="H418" s="8"/>
      <c r="I418" s="15"/>
      <c r="J418" s="15"/>
      <c r="K418" s="10" t="str">
        <f aca="false">IF(J418&lt;&gt;"",J418,IF(I418="","",I418*IFERROR(INDEX(สินค้า!$G$2:$G$101,MATCH(B418,สินค้า!$A$2:$A$101,0)),0)))</f>
        <v/>
      </c>
      <c r="L418" s="16" t="str">
        <f aca="false">IF(OR(F418="",F418=0,G418=""),"",G418/F418)</f>
        <v/>
      </c>
      <c r="M418" s="16" t="str">
        <f aca="false">IF(OR(G418="",G418=0,H418=""),"",H418/G418)</f>
        <v/>
      </c>
    </row>
    <row r="419" customFormat="false" ht="15" hidden="false" customHeight="false" outlineLevel="0" collapsed="false">
      <c r="A419" s="12"/>
      <c r="B419" s="6"/>
      <c r="C419" s="13" t="str">
        <f aca="false">IF(B419="","",IFERROR(INDEX(สินค้า!$B$2:$B$101,MATCH(B419,สินค้า!$A$2:$A$101,0)),"ไม่พบรหัส"))</f>
        <v/>
      </c>
      <c r="D419" s="14" t="str">
        <f aca="false">IF(B419="","",IFERROR(INDEX(สินค้า!$D$2:$D$101,MATCH(B419,สินค้า!$A$2:$A$101,0)),""))</f>
        <v/>
      </c>
      <c r="E419" s="6"/>
      <c r="F419" s="8"/>
      <c r="G419" s="8"/>
      <c r="H419" s="8"/>
      <c r="I419" s="15"/>
      <c r="J419" s="15"/>
      <c r="K419" s="10" t="str">
        <f aca="false">IF(J419&lt;&gt;"",J419,IF(I419="","",I419*IFERROR(INDEX(สินค้า!$G$2:$G$101,MATCH(B419,สินค้า!$A$2:$A$101,0)),0)))</f>
        <v/>
      </c>
      <c r="L419" s="16" t="str">
        <f aca="false">IF(OR(F419="",F419=0,G419=""),"",G419/F419)</f>
        <v/>
      </c>
      <c r="M419" s="16" t="str">
        <f aca="false">IF(OR(G419="",G419=0,H419=""),"",H419/G419)</f>
        <v/>
      </c>
    </row>
    <row r="420" customFormat="false" ht="15" hidden="false" customHeight="false" outlineLevel="0" collapsed="false">
      <c r="A420" s="12"/>
      <c r="B420" s="6"/>
      <c r="C420" s="13" t="str">
        <f aca="false">IF(B420="","",IFERROR(INDEX(สินค้า!$B$2:$B$101,MATCH(B420,สินค้า!$A$2:$A$101,0)),"ไม่พบรหัส"))</f>
        <v/>
      </c>
      <c r="D420" s="14" t="str">
        <f aca="false">IF(B420="","",IFERROR(INDEX(สินค้า!$D$2:$D$101,MATCH(B420,สินค้า!$A$2:$A$101,0)),""))</f>
        <v/>
      </c>
      <c r="E420" s="6"/>
      <c r="F420" s="8"/>
      <c r="G420" s="8"/>
      <c r="H420" s="8"/>
      <c r="I420" s="15"/>
      <c r="J420" s="15"/>
      <c r="K420" s="10" t="str">
        <f aca="false">IF(J420&lt;&gt;"",J420,IF(I420="","",I420*IFERROR(INDEX(สินค้า!$G$2:$G$101,MATCH(B420,สินค้า!$A$2:$A$101,0)),0)))</f>
        <v/>
      </c>
      <c r="L420" s="16" t="str">
        <f aca="false">IF(OR(F420="",F420=0,G420=""),"",G420/F420)</f>
        <v/>
      </c>
      <c r="M420" s="16" t="str">
        <f aca="false">IF(OR(G420="",G420=0,H420=""),"",H420/G420)</f>
        <v/>
      </c>
    </row>
    <row r="421" customFormat="false" ht="15" hidden="false" customHeight="false" outlineLevel="0" collapsed="false">
      <c r="A421" s="12"/>
      <c r="B421" s="6"/>
      <c r="C421" s="13" t="str">
        <f aca="false">IF(B421="","",IFERROR(INDEX(สินค้า!$B$2:$B$101,MATCH(B421,สินค้า!$A$2:$A$101,0)),"ไม่พบรหัส"))</f>
        <v/>
      </c>
      <c r="D421" s="14" t="str">
        <f aca="false">IF(B421="","",IFERROR(INDEX(สินค้า!$D$2:$D$101,MATCH(B421,สินค้า!$A$2:$A$101,0)),""))</f>
        <v/>
      </c>
      <c r="E421" s="6"/>
      <c r="F421" s="8"/>
      <c r="G421" s="8"/>
      <c r="H421" s="8"/>
      <c r="I421" s="15"/>
      <c r="J421" s="15"/>
      <c r="K421" s="10" t="str">
        <f aca="false">IF(J421&lt;&gt;"",J421,IF(I421="","",I421*IFERROR(INDEX(สินค้า!$G$2:$G$101,MATCH(B421,สินค้า!$A$2:$A$101,0)),0)))</f>
        <v/>
      </c>
      <c r="L421" s="16" t="str">
        <f aca="false">IF(OR(F421="",F421=0,G421=""),"",G421/F421)</f>
        <v/>
      </c>
      <c r="M421" s="16" t="str">
        <f aca="false">IF(OR(G421="",G421=0,H421=""),"",H421/G421)</f>
        <v/>
      </c>
    </row>
    <row r="422" customFormat="false" ht="15" hidden="false" customHeight="false" outlineLevel="0" collapsed="false">
      <c r="A422" s="12"/>
      <c r="B422" s="6"/>
      <c r="C422" s="13" t="str">
        <f aca="false">IF(B422="","",IFERROR(INDEX(สินค้า!$B$2:$B$101,MATCH(B422,สินค้า!$A$2:$A$101,0)),"ไม่พบรหัส"))</f>
        <v/>
      </c>
      <c r="D422" s="14" t="str">
        <f aca="false">IF(B422="","",IFERROR(INDEX(สินค้า!$D$2:$D$101,MATCH(B422,สินค้า!$A$2:$A$101,0)),""))</f>
        <v/>
      </c>
      <c r="E422" s="6"/>
      <c r="F422" s="8"/>
      <c r="G422" s="8"/>
      <c r="H422" s="8"/>
      <c r="I422" s="15"/>
      <c r="J422" s="15"/>
      <c r="K422" s="10" t="str">
        <f aca="false">IF(J422&lt;&gt;"",J422,IF(I422="","",I422*IFERROR(INDEX(สินค้า!$G$2:$G$101,MATCH(B422,สินค้า!$A$2:$A$101,0)),0)))</f>
        <v/>
      </c>
      <c r="L422" s="16" t="str">
        <f aca="false">IF(OR(F422="",F422=0,G422=""),"",G422/F422)</f>
        <v/>
      </c>
      <c r="M422" s="16" t="str">
        <f aca="false">IF(OR(G422="",G422=0,H422=""),"",H422/G422)</f>
        <v/>
      </c>
    </row>
    <row r="423" customFormat="false" ht="15" hidden="false" customHeight="false" outlineLevel="0" collapsed="false">
      <c r="A423" s="12"/>
      <c r="B423" s="6"/>
      <c r="C423" s="13" t="str">
        <f aca="false">IF(B423="","",IFERROR(INDEX(สินค้า!$B$2:$B$101,MATCH(B423,สินค้า!$A$2:$A$101,0)),"ไม่พบรหัส"))</f>
        <v/>
      </c>
      <c r="D423" s="14" t="str">
        <f aca="false">IF(B423="","",IFERROR(INDEX(สินค้า!$D$2:$D$101,MATCH(B423,สินค้า!$A$2:$A$101,0)),""))</f>
        <v/>
      </c>
      <c r="E423" s="6"/>
      <c r="F423" s="8"/>
      <c r="G423" s="8"/>
      <c r="H423" s="8"/>
      <c r="I423" s="15"/>
      <c r="J423" s="15"/>
      <c r="K423" s="10" t="str">
        <f aca="false">IF(J423&lt;&gt;"",J423,IF(I423="","",I423*IFERROR(INDEX(สินค้า!$G$2:$G$101,MATCH(B423,สินค้า!$A$2:$A$101,0)),0)))</f>
        <v/>
      </c>
      <c r="L423" s="16" t="str">
        <f aca="false">IF(OR(F423="",F423=0,G423=""),"",G423/F423)</f>
        <v/>
      </c>
      <c r="M423" s="16" t="str">
        <f aca="false">IF(OR(G423="",G423=0,H423=""),"",H423/G423)</f>
        <v/>
      </c>
    </row>
    <row r="424" customFormat="false" ht="15" hidden="false" customHeight="false" outlineLevel="0" collapsed="false">
      <c r="A424" s="12"/>
      <c r="B424" s="6"/>
      <c r="C424" s="13" t="str">
        <f aca="false">IF(B424="","",IFERROR(INDEX(สินค้า!$B$2:$B$101,MATCH(B424,สินค้า!$A$2:$A$101,0)),"ไม่พบรหัส"))</f>
        <v/>
      </c>
      <c r="D424" s="14" t="str">
        <f aca="false">IF(B424="","",IFERROR(INDEX(สินค้า!$D$2:$D$101,MATCH(B424,สินค้า!$A$2:$A$101,0)),""))</f>
        <v/>
      </c>
      <c r="E424" s="6"/>
      <c r="F424" s="8"/>
      <c r="G424" s="8"/>
      <c r="H424" s="8"/>
      <c r="I424" s="15"/>
      <c r="J424" s="15"/>
      <c r="K424" s="10" t="str">
        <f aca="false">IF(J424&lt;&gt;"",J424,IF(I424="","",I424*IFERROR(INDEX(สินค้า!$G$2:$G$101,MATCH(B424,สินค้า!$A$2:$A$101,0)),0)))</f>
        <v/>
      </c>
      <c r="L424" s="16" t="str">
        <f aca="false">IF(OR(F424="",F424=0,G424=""),"",G424/F424)</f>
        <v/>
      </c>
      <c r="M424" s="16" t="str">
        <f aca="false">IF(OR(G424="",G424=0,H424=""),"",H424/G424)</f>
        <v/>
      </c>
    </row>
    <row r="425" customFormat="false" ht="15" hidden="false" customHeight="false" outlineLevel="0" collapsed="false">
      <c r="A425" s="12"/>
      <c r="B425" s="6"/>
      <c r="C425" s="13" t="str">
        <f aca="false">IF(B425="","",IFERROR(INDEX(สินค้า!$B$2:$B$101,MATCH(B425,สินค้า!$A$2:$A$101,0)),"ไม่พบรหัส"))</f>
        <v/>
      </c>
      <c r="D425" s="14" t="str">
        <f aca="false">IF(B425="","",IFERROR(INDEX(สินค้า!$D$2:$D$101,MATCH(B425,สินค้า!$A$2:$A$101,0)),""))</f>
        <v/>
      </c>
      <c r="E425" s="6"/>
      <c r="F425" s="8"/>
      <c r="G425" s="8"/>
      <c r="H425" s="8"/>
      <c r="I425" s="15"/>
      <c r="J425" s="15"/>
      <c r="K425" s="10" t="str">
        <f aca="false">IF(J425&lt;&gt;"",J425,IF(I425="","",I425*IFERROR(INDEX(สินค้า!$G$2:$G$101,MATCH(B425,สินค้า!$A$2:$A$101,0)),0)))</f>
        <v/>
      </c>
      <c r="L425" s="16" t="str">
        <f aca="false">IF(OR(F425="",F425=0,G425=""),"",G425/F425)</f>
        <v/>
      </c>
      <c r="M425" s="16" t="str">
        <f aca="false">IF(OR(G425="",G425=0,H425=""),"",H425/G425)</f>
        <v/>
      </c>
    </row>
    <row r="426" customFormat="false" ht="15" hidden="false" customHeight="false" outlineLevel="0" collapsed="false">
      <c r="A426" s="12"/>
      <c r="B426" s="6"/>
      <c r="C426" s="13" t="str">
        <f aca="false">IF(B426="","",IFERROR(INDEX(สินค้า!$B$2:$B$101,MATCH(B426,สินค้า!$A$2:$A$101,0)),"ไม่พบรหัส"))</f>
        <v/>
      </c>
      <c r="D426" s="14" t="str">
        <f aca="false">IF(B426="","",IFERROR(INDEX(สินค้า!$D$2:$D$101,MATCH(B426,สินค้า!$A$2:$A$101,0)),""))</f>
        <v/>
      </c>
      <c r="E426" s="6"/>
      <c r="F426" s="8"/>
      <c r="G426" s="8"/>
      <c r="H426" s="8"/>
      <c r="I426" s="15"/>
      <c r="J426" s="15"/>
      <c r="K426" s="10" t="str">
        <f aca="false">IF(J426&lt;&gt;"",J426,IF(I426="","",I426*IFERROR(INDEX(สินค้า!$G$2:$G$101,MATCH(B426,สินค้า!$A$2:$A$101,0)),0)))</f>
        <v/>
      </c>
      <c r="L426" s="16" t="str">
        <f aca="false">IF(OR(F426="",F426=0,G426=""),"",G426/F426)</f>
        <v/>
      </c>
      <c r="M426" s="16" t="str">
        <f aca="false">IF(OR(G426="",G426=0,H426=""),"",H426/G426)</f>
        <v/>
      </c>
    </row>
    <row r="427" customFormat="false" ht="15" hidden="false" customHeight="false" outlineLevel="0" collapsed="false">
      <c r="A427" s="12"/>
      <c r="B427" s="6"/>
      <c r="C427" s="13" t="str">
        <f aca="false">IF(B427="","",IFERROR(INDEX(สินค้า!$B$2:$B$101,MATCH(B427,สินค้า!$A$2:$A$101,0)),"ไม่พบรหัส"))</f>
        <v/>
      </c>
      <c r="D427" s="14" t="str">
        <f aca="false">IF(B427="","",IFERROR(INDEX(สินค้า!$D$2:$D$101,MATCH(B427,สินค้า!$A$2:$A$101,0)),""))</f>
        <v/>
      </c>
      <c r="E427" s="6"/>
      <c r="F427" s="8"/>
      <c r="G427" s="8"/>
      <c r="H427" s="8"/>
      <c r="I427" s="15"/>
      <c r="J427" s="15"/>
      <c r="K427" s="10" t="str">
        <f aca="false">IF(J427&lt;&gt;"",J427,IF(I427="","",I427*IFERROR(INDEX(สินค้า!$G$2:$G$101,MATCH(B427,สินค้า!$A$2:$A$101,0)),0)))</f>
        <v/>
      </c>
      <c r="L427" s="16" t="str">
        <f aca="false">IF(OR(F427="",F427=0,G427=""),"",G427/F427)</f>
        <v/>
      </c>
      <c r="M427" s="16" t="str">
        <f aca="false">IF(OR(G427="",G427=0,H427=""),"",H427/G427)</f>
        <v/>
      </c>
    </row>
    <row r="428" customFormat="false" ht="15" hidden="false" customHeight="false" outlineLevel="0" collapsed="false">
      <c r="A428" s="12"/>
      <c r="B428" s="6"/>
      <c r="C428" s="13" t="str">
        <f aca="false">IF(B428="","",IFERROR(INDEX(สินค้า!$B$2:$B$101,MATCH(B428,สินค้า!$A$2:$A$101,0)),"ไม่พบรหัส"))</f>
        <v/>
      </c>
      <c r="D428" s="14" t="str">
        <f aca="false">IF(B428="","",IFERROR(INDEX(สินค้า!$D$2:$D$101,MATCH(B428,สินค้า!$A$2:$A$101,0)),""))</f>
        <v/>
      </c>
      <c r="E428" s="6"/>
      <c r="F428" s="8"/>
      <c r="G428" s="8"/>
      <c r="H428" s="8"/>
      <c r="I428" s="15"/>
      <c r="J428" s="15"/>
      <c r="K428" s="10" t="str">
        <f aca="false">IF(J428&lt;&gt;"",J428,IF(I428="","",I428*IFERROR(INDEX(สินค้า!$G$2:$G$101,MATCH(B428,สินค้า!$A$2:$A$101,0)),0)))</f>
        <v/>
      </c>
      <c r="L428" s="16" t="str">
        <f aca="false">IF(OR(F428="",F428=0,G428=""),"",G428/F428)</f>
        <v/>
      </c>
      <c r="M428" s="16" t="str">
        <f aca="false">IF(OR(G428="",G428=0,H428=""),"",H428/G428)</f>
        <v/>
      </c>
    </row>
    <row r="429" customFormat="false" ht="15" hidden="false" customHeight="false" outlineLevel="0" collapsed="false">
      <c r="A429" s="12"/>
      <c r="B429" s="6"/>
      <c r="C429" s="13" t="str">
        <f aca="false">IF(B429="","",IFERROR(INDEX(สินค้า!$B$2:$B$101,MATCH(B429,สินค้า!$A$2:$A$101,0)),"ไม่พบรหัส"))</f>
        <v/>
      </c>
      <c r="D429" s="14" t="str">
        <f aca="false">IF(B429="","",IFERROR(INDEX(สินค้า!$D$2:$D$101,MATCH(B429,สินค้า!$A$2:$A$101,0)),""))</f>
        <v/>
      </c>
      <c r="E429" s="6"/>
      <c r="F429" s="8"/>
      <c r="G429" s="8"/>
      <c r="H429" s="8"/>
      <c r="I429" s="15"/>
      <c r="J429" s="15"/>
      <c r="K429" s="10" t="str">
        <f aca="false">IF(J429&lt;&gt;"",J429,IF(I429="","",I429*IFERROR(INDEX(สินค้า!$G$2:$G$101,MATCH(B429,สินค้า!$A$2:$A$101,0)),0)))</f>
        <v/>
      </c>
      <c r="L429" s="16" t="str">
        <f aca="false">IF(OR(F429="",F429=0,G429=""),"",G429/F429)</f>
        <v/>
      </c>
      <c r="M429" s="16" t="str">
        <f aca="false">IF(OR(G429="",G429=0,H429=""),"",H429/G429)</f>
        <v/>
      </c>
    </row>
    <row r="430" customFormat="false" ht="15" hidden="false" customHeight="false" outlineLevel="0" collapsed="false">
      <c r="A430" s="12"/>
      <c r="B430" s="6"/>
      <c r="C430" s="13" t="str">
        <f aca="false">IF(B430="","",IFERROR(INDEX(สินค้า!$B$2:$B$101,MATCH(B430,สินค้า!$A$2:$A$101,0)),"ไม่พบรหัส"))</f>
        <v/>
      </c>
      <c r="D430" s="14" t="str">
        <f aca="false">IF(B430="","",IFERROR(INDEX(สินค้า!$D$2:$D$101,MATCH(B430,สินค้า!$A$2:$A$101,0)),""))</f>
        <v/>
      </c>
      <c r="E430" s="6"/>
      <c r="F430" s="8"/>
      <c r="G430" s="8"/>
      <c r="H430" s="8"/>
      <c r="I430" s="15"/>
      <c r="J430" s="15"/>
      <c r="K430" s="10" t="str">
        <f aca="false">IF(J430&lt;&gt;"",J430,IF(I430="","",I430*IFERROR(INDEX(สินค้า!$G$2:$G$101,MATCH(B430,สินค้า!$A$2:$A$101,0)),0)))</f>
        <v/>
      </c>
      <c r="L430" s="16" t="str">
        <f aca="false">IF(OR(F430="",F430=0,G430=""),"",G430/F430)</f>
        <v/>
      </c>
      <c r="M430" s="16" t="str">
        <f aca="false">IF(OR(G430="",G430=0,H430=""),"",H430/G430)</f>
        <v/>
      </c>
    </row>
    <row r="431" customFormat="false" ht="15" hidden="false" customHeight="false" outlineLevel="0" collapsed="false">
      <c r="A431" s="12"/>
      <c r="B431" s="6"/>
      <c r="C431" s="13" t="str">
        <f aca="false">IF(B431="","",IFERROR(INDEX(สินค้า!$B$2:$B$101,MATCH(B431,สินค้า!$A$2:$A$101,0)),"ไม่พบรหัส"))</f>
        <v/>
      </c>
      <c r="D431" s="14" t="str">
        <f aca="false">IF(B431="","",IFERROR(INDEX(สินค้า!$D$2:$D$101,MATCH(B431,สินค้า!$A$2:$A$101,0)),""))</f>
        <v/>
      </c>
      <c r="E431" s="6"/>
      <c r="F431" s="8"/>
      <c r="G431" s="8"/>
      <c r="H431" s="8"/>
      <c r="I431" s="15"/>
      <c r="J431" s="15"/>
      <c r="K431" s="10" t="str">
        <f aca="false">IF(J431&lt;&gt;"",J431,IF(I431="","",I431*IFERROR(INDEX(สินค้า!$G$2:$G$101,MATCH(B431,สินค้า!$A$2:$A$101,0)),0)))</f>
        <v/>
      </c>
      <c r="L431" s="16" t="str">
        <f aca="false">IF(OR(F431="",F431=0,G431=""),"",G431/F431)</f>
        <v/>
      </c>
      <c r="M431" s="16" t="str">
        <f aca="false">IF(OR(G431="",G431=0,H431=""),"",H431/G431)</f>
        <v/>
      </c>
    </row>
    <row r="432" customFormat="false" ht="15" hidden="false" customHeight="false" outlineLevel="0" collapsed="false">
      <c r="A432" s="12"/>
      <c r="B432" s="6"/>
      <c r="C432" s="13" t="str">
        <f aca="false">IF(B432="","",IFERROR(INDEX(สินค้า!$B$2:$B$101,MATCH(B432,สินค้า!$A$2:$A$101,0)),"ไม่พบรหัส"))</f>
        <v/>
      </c>
      <c r="D432" s="14" t="str">
        <f aca="false">IF(B432="","",IFERROR(INDEX(สินค้า!$D$2:$D$101,MATCH(B432,สินค้า!$A$2:$A$101,0)),""))</f>
        <v/>
      </c>
      <c r="E432" s="6"/>
      <c r="F432" s="8"/>
      <c r="G432" s="8"/>
      <c r="H432" s="8"/>
      <c r="I432" s="15"/>
      <c r="J432" s="15"/>
      <c r="K432" s="10" t="str">
        <f aca="false">IF(J432&lt;&gt;"",J432,IF(I432="","",I432*IFERROR(INDEX(สินค้า!$G$2:$G$101,MATCH(B432,สินค้า!$A$2:$A$101,0)),0)))</f>
        <v/>
      </c>
      <c r="L432" s="16" t="str">
        <f aca="false">IF(OR(F432="",F432=0,G432=""),"",G432/F432)</f>
        <v/>
      </c>
      <c r="M432" s="16" t="str">
        <f aca="false">IF(OR(G432="",G432=0,H432=""),"",H432/G432)</f>
        <v/>
      </c>
    </row>
    <row r="433" customFormat="false" ht="15" hidden="false" customHeight="false" outlineLevel="0" collapsed="false">
      <c r="A433" s="12"/>
      <c r="B433" s="6"/>
      <c r="C433" s="13" t="str">
        <f aca="false">IF(B433="","",IFERROR(INDEX(สินค้า!$B$2:$B$101,MATCH(B433,สินค้า!$A$2:$A$101,0)),"ไม่พบรหัส"))</f>
        <v/>
      </c>
      <c r="D433" s="14" t="str">
        <f aca="false">IF(B433="","",IFERROR(INDEX(สินค้า!$D$2:$D$101,MATCH(B433,สินค้า!$A$2:$A$101,0)),""))</f>
        <v/>
      </c>
      <c r="E433" s="6"/>
      <c r="F433" s="8"/>
      <c r="G433" s="8"/>
      <c r="H433" s="8"/>
      <c r="I433" s="15"/>
      <c r="J433" s="15"/>
      <c r="K433" s="10" t="str">
        <f aca="false">IF(J433&lt;&gt;"",J433,IF(I433="","",I433*IFERROR(INDEX(สินค้า!$G$2:$G$101,MATCH(B433,สินค้า!$A$2:$A$101,0)),0)))</f>
        <v/>
      </c>
      <c r="L433" s="16" t="str">
        <f aca="false">IF(OR(F433="",F433=0,G433=""),"",G433/F433)</f>
        <v/>
      </c>
      <c r="M433" s="16" t="str">
        <f aca="false">IF(OR(G433="",G433=0,H433=""),"",H433/G433)</f>
        <v/>
      </c>
    </row>
    <row r="434" customFormat="false" ht="15" hidden="false" customHeight="false" outlineLevel="0" collapsed="false">
      <c r="A434" s="12"/>
      <c r="B434" s="6"/>
      <c r="C434" s="13" t="str">
        <f aca="false">IF(B434="","",IFERROR(INDEX(สินค้า!$B$2:$B$101,MATCH(B434,สินค้า!$A$2:$A$101,0)),"ไม่พบรหัส"))</f>
        <v/>
      </c>
      <c r="D434" s="14" t="str">
        <f aca="false">IF(B434="","",IFERROR(INDEX(สินค้า!$D$2:$D$101,MATCH(B434,สินค้า!$A$2:$A$101,0)),""))</f>
        <v/>
      </c>
      <c r="E434" s="6"/>
      <c r="F434" s="8"/>
      <c r="G434" s="8"/>
      <c r="H434" s="8"/>
      <c r="I434" s="15"/>
      <c r="J434" s="15"/>
      <c r="K434" s="10" t="str">
        <f aca="false">IF(J434&lt;&gt;"",J434,IF(I434="","",I434*IFERROR(INDEX(สินค้า!$G$2:$G$101,MATCH(B434,สินค้า!$A$2:$A$101,0)),0)))</f>
        <v/>
      </c>
      <c r="L434" s="16" t="str">
        <f aca="false">IF(OR(F434="",F434=0,G434=""),"",G434/F434)</f>
        <v/>
      </c>
      <c r="M434" s="16" t="str">
        <f aca="false">IF(OR(G434="",G434=0,H434=""),"",H434/G434)</f>
        <v/>
      </c>
    </row>
    <row r="435" customFormat="false" ht="15" hidden="false" customHeight="false" outlineLevel="0" collapsed="false">
      <c r="A435" s="12"/>
      <c r="B435" s="6"/>
      <c r="C435" s="13" t="str">
        <f aca="false">IF(B435="","",IFERROR(INDEX(สินค้า!$B$2:$B$101,MATCH(B435,สินค้า!$A$2:$A$101,0)),"ไม่พบรหัส"))</f>
        <v/>
      </c>
      <c r="D435" s="14" t="str">
        <f aca="false">IF(B435="","",IFERROR(INDEX(สินค้า!$D$2:$D$101,MATCH(B435,สินค้า!$A$2:$A$101,0)),""))</f>
        <v/>
      </c>
      <c r="E435" s="6"/>
      <c r="F435" s="8"/>
      <c r="G435" s="8"/>
      <c r="H435" s="8"/>
      <c r="I435" s="15"/>
      <c r="J435" s="15"/>
      <c r="K435" s="10" t="str">
        <f aca="false">IF(J435&lt;&gt;"",J435,IF(I435="","",I435*IFERROR(INDEX(สินค้า!$G$2:$G$101,MATCH(B435,สินค้า!$A$2:$A$101,0)),0)))</f>
        <v/>
      </c>
      <c r="L435" s="16" t="str">
        <f aca="false">IF(OR(F435="",F435=0,G435=""),"",G435/F435)</f>
        <v/>
      </c>
      <c r="M435" s="16" t="str">
        <f aca="false">IF(OR(G435="",G435=0,H435=""),"",H435/G435)</f>
        <v/>
      </c>
    </row>
    <row r="436" customFormat="false" ht="15" hidden="false" customHeight="false" outlineLevel="0" collapsed="false">
      <c r="A436" s="12"/>
      <c r="B436" s="6"/>
      <c r="C436" s="13" t="str">
        <f aca="false">IF(B436="","",IFERROR(INDEX(สินค้า!$B$2:$B$101,MATCH(B436,สินค้า!$A$2:$A$101,0)),"ไม่พบรหัส"))</f>
        <v/>
      </c>
      <c r="D436" s="14" t="str">
        <f aca="false">IF(B436="","",IFERROR(INDEX(สินค้า!$D$2:$D$101,MATCH(B436,สินค้า!$A$2:$A$101,0)),""))</f>
        <v/>
      </c>
      <c r="E436" s="6"/>
      <c r="F436" s="8"/>
      <c r="G436" s="8"/>
      <c r="H436" s="8"/>
      <c r="I436" s="15"/>
      <c r="J436" s="15"/>
      <c r="K436" s="10" t="str">
        <f aca="false">IF(J436&lt;&gt;"",J436,IF(I436="","",I436*IFERROR(INDEX(สินค้า!$G$2:$G$101,MATCH(B436,สินค้า!$A$2:$A$101,0)),0)))</f>
        <v/>
      </c>
      <c r="L436" s="16" t="str">
        <f aca="false">IF(OR(F436="",F436=0,G436=""),"",G436/F436)</f>
        <v/>
      </c>
      <c r="M436" s="16" t="str">
        <f aca="false">IF(OR(G436="",G436=0,H436=""),"",H436/G436)</f>
        <v/>
      </c>
    </row>
    <row r="437" customFormat="false" ht="15" hidden="false" customHeight="false" outlineLevel="0" collapsed="false">
      <c r="A437" s="12"/>
      <c r="B437" s="6"/>
      <c r="C437" s="13" t="str">
        <f aca="false">IF(B437="","",IFERROR(INDEX(สินค้า!$B$2:$B$101,MATCH(B437,สินค้า!$A$2:$A$101,0)),"ไม่พบรหัส"))</f>
        <v/>
      </c>
      <c r="D437" s="14" t="str">
        <f aca="false">IF(B437="","",IFERROR(INDEX(สินค้า!$D$2:$D$101,MATCH(B437,สินค้า!$A$2:$A$101,0)),""))</f>
        <v/>
      </c>
      <c r="E437" s="6"/>
      <c r="F437" s="8"/>
      <c r="G437" s="8"/>
      <c r="H437" s="8"/>
      <c r="I437" s="15"/>
      <c r="J437" s="15"/>
      <c r="K437" s="10" t="str">
        <f aca="false">IF(J437&lt;&gt;"",J437,IF(I437="","",I437*IFERROR(INDEX(สินค้า!$G$2:$G$101,MATCH(B437,สินค้า!$A$2:$A$101,0)),0)))</f>
        <v/>
      </c>
      <c r="L437" s="16" t="str">
        <f aca="false">IF(OR(F437="",F437=0,G437=""),"",G437/F437)</f>
        <v/>
      </c>
      <c r="M437" s="16" t="str">
        <f aca="false">IF(OR(G437="",G437=0,H437=""),"",H437/G437)</f>
        <v/>
      </c>
    </row>
    <row r="438" customFormat="false" ht="15" hidden="false" customHeight="false" outlineLevel="0" collapsed="false">
      <c r="A438" s="12"/>
      <c r="B438" s="6"/>
      <c r="C438" s="13" t="str">
        <f aca="false">IF(B438="","",IFERROR(INDEX(สินค้า!$B$2:$B$101,MATCH(B438,สินค้า!$A$2:$A$101,0)),"ไม่พบรหัส"))</f>
        <v/>
      </c>
      <c r="D438" s="14" t="str">
        <f aca="false">IF(B438="","",IFERROR(INDEX(สินค้า!$D$2:$D$101,MATCH(B438,สินค้า!$A$2:$A$101,0)),""))</f>
        <v/>
      </c>
      <c r="E438" s="6"/>
      <c r="F438" s="8"/>
      <c r="G438" s="8"/>
      <c r="H438" s="8"/>
      <c r="I438" s="15"/>
      <c r="J438" s="15"/>
      <c r="K438" s="10" t="str">
        <f aca="false">IF(J438&lt;&gt;"",J438,IF(I438="","",I438*IFERROR(INDEX(สินค้า!$G$2:$G$101,MATCH(B438,สินค้า!$A$2:$A$101,0)),0)))</f>
        <v/>
      </c>
      <c r="L438" s="16" t="str">
        <f aca="false">IF(OR(F438="",F438=0,G438=""),"",G438/F438)</f>
        <v/>
      </c>
      <c r="M438" s="16" t="str">
        <f aca="false">IF(OR(G438="",G438=0,H438=""),"",H438/G438)</f>
        <v/>
      </c>
    </row>
    <row r="439" customFormat="false" ht="15" hidden="false" customHeight="false" outlineLevel="0" collapsed="false">
      <c r="A439" s="12"/>
      <c r="B439" s="6"/>
      <c r="C439" s="13" t="str">
        <f aca="false">IF(B439="","",IFERROR(INDEX(สินค้า!$B$2:$B$101,MATCH(B439,สินค้า!$A$2:$A$101,0)),"ไม่พบรหัส"))</f>
        <v/>
      </c>
      <c r="D439" s="14" t="str">
        <f aca="false">IF(B439="","",IFERROR(INDEX(สินค้า!$D$2:$D$101,MATCH(B439,สินค้า!$A$2:$A$101,0)),""))</f>
        <v/>
      </c>
      <c r="E439" s="6"/>
      <c r="F439" s="8"/>
      <c r="G439" s="8"/>
      <c r="H439" s="8"/>
      <c r="I439" s="15"/>
      <c r="J439" s="15"/>
      <c r="K439" s="10" t="str">
        <f aca="false">IF(J439&lt;&gt;"",J439,IF(I439="","",I439*IFERROR(INDEX(สินค้า!$G$2:$G$101,MATCH(B439,สินค้า!$A$2:$A$101,0)),0)))</f>
        <v/>
      </c>
      <c r="L439" s="16" t="str">
        <f aca="false">IF(OR(F439="",F439=0,G439=""),"",G439/F439)</f>
        <v/>
      </c>
      <c r="M439" s="16" t="str">
        <f aca="false">IF(OR(G439="",G439=0,H439=""),"",H439/G439)</f>
        <v/>
      </c>
    </row>
    <row r="440" customFormat="false" ht="15" hidden="false" customHeight="false" outlineLevel="0" collapsed="false">
      <c r="A440" s="12"/>
      <c r="B440" s="6"/>
      <c r="C440" s="13" t="str">
        <f aca="false">IF(B440="","",IFERROR(INDEX(สินค้า!$B$2:$B$101,MATCH(B440,สินค้า!$A$2:$A$101,0)),"ไม่พบรหัส"))</f>
        <v/>
      </c>
      <c r="D440" s="14" t="str">
        <f aca="false">IF(B440="","",IFERROR(INDEX(สินค้า!$D$2:$D$101,MATCH(B440,สินค้า!$A$2:$A$101,0)),""))</f>
        <v/>
      </c>
      <c r="E440" s="6"/>
      <c r="F440" s="8"/>
      <c r="G440" s="8"/>
      <c r="H440" s="8"/>
      <c r="I440" s="15"/>
      <c r="J440" s="15"/>
      <c r="K440" s="10" t="str">
        <f aca="false">IF(J440&lt;&gt;"",J440,IF(I440="","",I440*IFERROR(INDEX(สินค้า!$G$2:$G$101,MATCH(B440,สินค้า!$A$2:$A$101,0)),0)))</f>
        <v/>
      </c>
      <c r="L440" s="16" t="str">
        <f aca="false">IF(OR(F440="",F440=0,G440=""),"",G440/F440)</f>
        <v/>
      </c>
      <c r="M440" s="16" t="str">
        <f aca="false">IF(OR(G440="",G440=0,H440=""),"",H440/G440)</f>
        <v/>
      </c>
    </row>
    <row r="441" customFormat="false" ht="15" hidden="false" customHeight="false" outlineLevel="0" collapsed="false">
      <c r="A441" s="12"/>
      <c r="B441" s="6"/>
      <c r="C441" s="13" t="str">
        <f aca="false">IF(B441="","",IFERROR(INDEX(สินค้า!$B$2:$B$101,MATCH(B441,สินค้า!$A$2:$A$101,0)),"ไม่พบรหัส"))</f>
        <v/>
      </c>
      <c r="D441" s="14" t="str">
        <f aca="false">IF(B441="","",IFERROR(INDEX(สินค้า!$D$2:$D$101,MATCH(B441,สินค้า!$A$2:$A$101,0)),""))</f>
        <v/>
      </c>
      <c r="E441" s="6"/>
      <c r="F441" s="8"/>
      <c r="G441" s="8"/>
      <c r="H441" s="8"/>
      <c r="I441" s="15"/>
      <c r="J441" s="15"/>
      <c r="K441" s="10" t="str">
        <f aca="false">IF(J441&lt;&gt;"",J441,IF(I441="","",I441*IFERROR(INDEX(สินค้า!$G$2:$G$101,MATCH(B441,สินค้า!$A$2:$A$101,0)),0)))</f>
        <v/>
      </c>
      <c r="L441" s="16" t="str">
        <f aca="false">IF(OR(F441="",F441=0,G441=""),"",G441/F441)</f>
        <v/>
      </c>
      <c r="M441" s="16" t="str">
        <f aca="false">IF(OR(G441="",G441=0,H441=""),"",H441/G441)</f>
        <v/>
      </c>
    </row>
    <row r="442" customFormat="false" ht="15" hidden="false" customHeight="false" outlineLevel="0" collapsed="false">
      <c r="A442" s="12"/>
      <c r="B442" s="6"/>
      <c r="C442" s="13" t="str">
        <f aca="false">IF(B442="","",IFERROR(INDEX(สินค้า!$B$2:$B$101,MATCH(B442,สินค้า!$A$2:$A$101,0)),"ไม่พบรหัส"))</f>
        <v/>
      </c>
      <c r="D442" s="14" t="str">
        <f aca="false">IF(B442="","",IFERROR(INDEX(สินค้า!$D$2:$D$101,MATCH(B442,สินค้า!$A$2:$A$101,0)),""))</f>
        <v/>
      </c>
      <c r="E442" s="6"/>
      <c r="F442" s="8"/>
      <c r="G442" s="8"/>
      <c r="H442" s="8"/>
      <c r="I442" s="15"/>
      <c r="J442" s="15"/>
      <c r="K442" s="10" t="str">
        <f aca="false">IF(J442&lt;&gt;"",J442,IF(I442="","",I442*IFERROR(INDEX(สินค้า!$G$2:$G$101,MATCH(B442,สินค้า!$A$2:$A$101,0)),0)))</f>
        <v/>
      </c>
      <c r="L442" s="16" t="str">
        <f aca="false">IF(OR(F442="",F442=0,G442=""),"",G442/F442)</f>
        <v/>
      </c>
      <c r="M442" s="16" t="str">
        <f aca="false">IF(OR(G442="",G442=0,H442=""),"",H442/G442)</f>
        <v/>
      </c>
    </row>
    <row r="443" customFormat="false" ht="15" hidden="false" customHeight="false" outlineLevel="0" collapsed="false">
      <c r="A443" s="12"/>
      <c r="B443" s="6"/>
      <c r="C443" s="13" t="str">
        <f aca="false">IF(B443="","",IFERROR(INDEX(สินค้า!$B$2:$B$101,MATCH(B443,สินค้า!$A$2:$A$101,0)),"ไม่พบรหัส"))</f>
        <v/>
      </c>
      <c r="D443" s="14" t="str">
        <f aca="false">IF(B443="","",IFERROR(INDEX(สินค้า!$D$2:$D$101,MATCH(B443,สินค้า!$A$2:$A$101,0)),""))</f>
        <v/>
      </c>
      <c r="E443" s="6"/>
      <c r="F443" s="8"/>
      <c r="G443" s="8"/>
      <c r="H443" s="8"/>
      <c r="I443" s="15"/>
      <c r="J443" s="15"/>
      <c r="K443" s="10" t="str">
        <f aca="false">IF(J443&lt;&gt;"",J443,IF(I443="","",I443*IFERROR(INDEX(สินค้า!$G$2:$G$101,MATCH(B443,สินค้า!$A$2:$A$101,0)),0)))</f>
        <v/>
      </c>
      <c r="L443" s="16" t="str">
        <f aca="false">IF(OR(F443="",F443=0,G443=""),"",G443/F443)</f>
        <v/>
      </c>
      <c r="M443" s="16" t="str">
        <f aca="false">IF(OR(G443="",G443=0,H443=""),"",H443/G443)</f>
        <v/>
      </c>
    </row>
    <row r="444" customFormat="false" ht="15" hidden="false" customHeight="false" outlineLevel="0" collapsed="false">
      <c r="A444" s="12"/>
      <c r="B444" s="6"/>
      <c r="C444" s="13" t="str">
        <f aca="false">IF(B444="","",IFERROR(INDEX(สินค้า!$B$2:$B$101,MATCH(B444,สินค้า!$A$2:$A$101,0)),"ไม่พบรหัส"))</f>
        <v/>
      </c>
      <c r="D444" s="14" t="str">
        <f aca="false">IF(B444="","",IFERROR(INDEX(สินค้า!$D$2:$D$101,MATCH(B444,สินค้า!$A$2:$A$101,0)),""))</f>
        <v/>
      </c>
      <c r="E444" s="6"/>
      <c r="F444" s="8"/>
      <c r="G444" s="8"/>
      <c r="H444" s="8"/>
      <c r="I444" s="15"/>
      <c r="J444" s="15"/>
      <c r="K444" s="10" t="str">
        <f aca="false">IF(J444&lt;&gt;"",J444,IF(I444="","",I444*IFERROR(INDEX(สินค้า!$G$2:$G$101,MATCH(B444,สินค้า!$A$2:$A$101,0)),0)))</f>
        <v/>
      </c>
      <c r="L444" s="16" t="str">
        <f aca="false">IF(OR(F444="",F444=0,G444=""),"",G444/F444)</f>
        <v/>
      </c>
      <c r="M444" s="16" t="str">
        <f aca="false">IF(OR(G444="",G444=0,H444=""),"",H444/G444)</f>
        <v/>
      </c>
    </row>
    <row r="445" customFormat="false" ht="15" hidden="false" customHeight="false" outlineLevel="0" collapsed="false">
      <c r="A445" s="12"/>
      <c r="B445" s="6"/>
      <c r="C445" s="13" t="str">
        <f aca="false">IF(B445="","",IFERROR(INDEX(สินค้า!$B$2:$B$101,MATCH(B445,สินค้า!$A$2:$A$101,0)),"ไม่พบรหัส"))</f>
        <v/>
      </c>
      <c r="D445" s="14" t="str">
        <f aca="false">IF(B445="","",IFERROR(INDEX(สินค้า!$D$2:$D$101,MATCH(B445,สินค้า!$A$2:$A$101,0)),""))</f>
        <v/>
      </c>
      <c r="E445" s="6"/>
      <c r="F445" s="8"/>
      <c r="G445" s="8"/>
      <c r="H445" s="8"/>
      <c r="I445" s="15"/>
      <c r="J445" s="15"/>
      <c r="K445" s="10" t="str">
        <f aca="false">IF(J445&lt;&gt;"",J445,IF(I445="","",I445*IFERROR(INDEX(สินค้า!$G$2:$G$101,MATCH(B445,สินค้า!$A$2:$A$101,0)),0)))</f>
        <v/>
      </c>
      <c r="L445" s="16" t="str">
        <f aca="false">IF(OR(F445="",F445=0,G445=""),"",G445/F445)</f>
        <v/>
      </c>
      <c r="M445" s="16" t="str">
        <f aca="false">IF(OR(G445="",G445=0,H445=""),"",H445/G445)</f>
        <v/>
      </c>
    </row>
    <row r="446" customFormat="false" ht="15" hidden="false" customHeight="false" outlineLevel="0" collapsed="false">
      <c r="A446" s="12"/>
      <c r="B446" s="6"/>
      <c r="C446" s="13" t="str">
        <f aca="false">IF(B446="","",IFERROR(INDEX(สินค้า!$B$2:$B$101,MATCH(B446,สินค้า!$A$2:$A$101,0)),"ไม่พบรหัส"))</f>
        <v/>
      </c>
      <c r="D446" s="14" t="str">
        <f aca="false">IF(B446="","",IFERROR(INDEX(สินค้า!$D$2:$D$101,MATCH(B446,สินค้า!$A$2:$A$101,0)),""))</f>
        <v/>
      </c>
      <c r="E446" s="6"/>
      <c r="F446" s="8"/>
      <c r="G446" s="8"/>
      <c r="H446" s="8"/>
      <c r="I446" s="15"/>
      <c r="J446" s="15"/>
      <c r="K446" s="10" t="str">
        <f aca="false">IF(J446&lt;&gt;"",J446,IF(I446="","",I446*IFERROR(INDEX(สินค้า!$G$2:$G$101,MATCH(B446,สินค้า!$A$2:$A$101,0)),0)))</f>
        <v/>
      </c>
      <c r="L446" s="16" t="str">
        <f aca="false">IF(OR(F446="",F446=0,G446=""),"",G446/F446)</f>
        <v/>
      </c>
      <c r="M446" s="16" t="str">
        <f aca="false">IF(OR(G446="",G446=0,H446=""),"",H446/G446)</f>
        <v/>
      </c>
    </row>
    <row r="447" customFormat="false" ht="15" hidden="false" customHeight="false" outlineLevel="0" collapsed="false">
      <c r="A447" s="12"/>
      <c r="B447" s="6"/>
      <c r="C447" s="13" t="str">
        <f aca="false">IF(B447="","",IFERROR(INDEX(สินค้า!$B$2:$B$101,MATCH(B447,สินค้า!$A$2:$A$101,0)),"ไม่พบรหัส"))</f>
        <v/>
      </c>
      <c r="D447" s="14" t="str">
        <f aca="false">IF(B447="","",IFERROR(INDEX(สินค้า!$D$2:$D$101,MATCH(B447,สินค้า!$A$2:$A$101,0)),""))</f>
        <v/>
      </c>
      <c r="E447" s="6"/>
      <c r="F447" s="8"/>
      <c r="G447" s="8"/>
      <c r="H447" s="8"/>
      <c r="I447" s="15"/>
      <c r="J447" s="15"/>
      <c r="K447" s="10" t="str">
        <f aca="false">IF(J447&lt;&gt;"",J447,IF(I447="","",I447*IFERROR(INDEX(สินค้า!$G$2:$G$101,MATCH(B447,สินค้า!$A$2:$A$101,0)),0)))</f>
        <v/>
      </c>
      <c r="L447" s="16" t="str">
        <f aca="false">IF(OR(F447="",F447=0,G447=""),"",G447/F447)</f>
        <v/>
      </c>
      <c r="M447" s="16" t="str">
        <f aca="false">IF(OR(G447="",G447=0,H447=""),"",H447/G447)</f>
        <v/>
      </c>
    </row>
    <row r="448" customFormat="false" ht="15" hidden="false" customHeight="false" outlineLevel="0" collapsed="false">
      <c r="A448" s="12"/>
      <c r="B448" s="6"/>
      <c r="C448" s="13" t="str">
        <f aca="false">IF(B448="","",IFERROR(INDEX(สินค้า!$B$2:$B$101,MATCH(B448,สินค้า!$A$2:$A$101,0)),"ไม่พบรหัส"))</f>
        <v/>
      </c>
      <c r="D448" s="14" t="str">
        <f aca="false">IF(B448="","",IFERROR(INDEX(สินค้า!$D$2:$D$101,MATCH(B448,สินค้า!$A$2:$A$101,0)),""))</f>
        <v/>
      </c>
      <c r="E448" s="6"/>
      <c r="F448" s="8"/>
      <c r="G448" s="8"/>
      <c r="H448" s="8"/>
      <c r="I448" s="15"/>
      <c r="J448" s="15"/>
      <c r="K448" s="10" t="str">
        <f aca="false">IF(J448&lt;&gt;"",J448,IF(I448="","",I448*IFERROR(INDEX(สินค้า!$G$2:$G$101,MATCH(B448,สินค้า!$A$2:$A$101,0)),0)))</f>
        <v/>
      </c>
      <c r="L448" s="16" t="str">
        <f aca="false">IF(OR(F448="",F448=0,G448=""),"",G448/F448)</f>
        <v/>
      </c>
      <c r="M448" s="16" t="str">
        <f aca="false">IF(OR(G448="",G448=0,H448=""),"",H448/G448)</f>
        <v/>
      </c>
    </row>
    <row r="449" customFormat="false" ht="15" hidden="false" customHeight="false" outlineLevel="0" collapsed="false">
      <c r="A449" s="12"/>
      <c r="B449" s="6"/>
      <c r="C449" s="13" t="str">
        <f aca="false">IF(B449="","",IFERROR(INDEX(สินค้า!$B$2:$B$101,MATCH(B449,สินค้า!$A$2:$A$101,0)),"ไม่พบรหัส"))</f>
        <v/>
      </c>
      <c r="D449" s="14" t="str">
        <f aca="false">IF(B449="","",IFERROR(INDEX(สินค้า!$D$2:$D$101,MATCH(B449,สินค้า!$A$2:$A$101,0)),""))</f>
        <v/>
      </c>
      <c r="E449" s="6"/>
      <c r="F449" s="8"/>
      <c r="G449" s="8"/>
      <c r="H449" s="8"/>
      <c r="I449" s="15"/>
      <c r="J449" s="15"/>
      <c r="K449" s="10" t="str">
        <f aca="false">IF(J449&lt;&gt;"",J449,IF(I449="","",I449*IFERROR(INDEX(สินค้า!$G$2:$G$101,MATCH(B449,สินค้า!$A$2:$A$101,0)),0)))</f>
        <v/>
      </c>
      <c r="L449" s="16" t="str">
        <f aca="false">IF(OR(F449="",F449=0,G449=""),"",G449/F449)</f>
        <v/>
      </c>
      <c r="M449" s="16" t="str">
        <f aca="false">IF(OR(G449="",G449=0,H449=""),"",H449/G449)</f>
        <v/>
      </c>
    </row>
    <row r="450" customFormat="false" ht="15" hidden="false" customHeight="false" outlineLevel="0" collapsed="false">
      <c r="A450" s="12"/>
      <c r="B450" s="6"/>
      <c r="C450" s="13" t="str">
        <f aca="false">IF(B450="","",IFERROR(INDEX(สินค้า!$B$2:$B$101,MATCH(B450,สินค้า!$A$2:$A$101,0)),"ไม่พบรหัส"))</f>
        <v/>
      </c>
      <c r="D450" s="14" t="str">
        <f aca="false">IF(B450="","",IFERROR(INDEX(สินค้า!$D$2:$D$101,MATCH(B450,สินค้า!$A$2:$A$101,0)),""))</f>
        <v/>
      </c>
      <c r="E450" s="6"/>
      <c r="F450" s="8"/>
      <c r="G450" s="8"/>
      <c r="H450" s="8"/>
      <c r="I450" s="15"/>
      <c r="J450" s="15"/>
      <c r="K450" s="10" t="str">
        <f aca="false">IF(J450&lt;&gt;"",J450,IF(I450="","",I450*IFERROR(INDEX(สินค้า!$G$2:$G$101,MATCH(B450,สินค้า!$A$2:$A$101,0)),0)))</f>
        <v/>
      </c>
      <c r="L450" s="16" t="str">
        <f aca="false">IF(OR(F450="",F450=0,G450=""),"",G450/F450)</f>
        <v/>
      </c>
      <c r="M450" s="16" t="str">
        <f aca="false">IF(OR(G450="",G450=0,H450=""),"",H450/G450)</f>
        <v/>
      </c>
    </row>
    <row r="451" customFormat="false" ht="15" hidden="false" customHeight="false" outlineLevel="0" collapsed="false">
      <c r="A451" s="12"/>
      <c r="B451" s="6"/>
      <c r="C451" s="13" t="str">
        <f aca="false">IF(B451="","",IFERROR(INDEX(สินค้า!$B$2:$B$101,MATCH(B451,สินค้า!$A$2:$A$101,0)),"ไม่พบรหัส"))</f>
        <v/>
      </c>
      <c r="D451" s="14" t="str">
        <f aca="false">IF(B451="","",IFERROR(INDEX(สินค้า!$D$2:$D$101,MATCH(B451,สินค้า!$A$2:$A$101,0)),""))</f>
        <v/>
      </c>
      <c r="E451" s="6"/>
      <c r="F451" s="8"/>
      <c r="G451" s="8"/>
      <c r="H451" s="8"/>
      <c r="I451" s="15"/>
      <c r="J451" s="15"/>
      <c r="K451" s="10" t="str">
        <f aca="false">IF(J451&lt;&gt;"",J451,IF(I451="","",I451*IFERROR(INDEX(สินค้า!$G$2:$G$101,MATCH(B451,สินค้า!$A$2:$A$101,0)),0)))</f>
        <v/>
      </c>
      <c r="L451" s="16" t="str">
        <f aca="false">IF(OR(F451="",F451=0,G451=""),"",G451/F451)</f>
        <v/>
      </c>
      <c r="M451" s="16" t="str">
        <f aca="false">IF(OR(G451="",G451=0,H451=""),"",H451/G451)</f>
        <v/>
      </c>
    </row>
    <row r="452" customFormat="false" ht="15" hidden="false" customHeight="false" outlineLevel="0" collapsed="false">
      <c r="A452" s="12"/>
      <c r="B452" s="6"/>
      <c r="C452" s="13" t="str">
        <f aca="false">IF(B452="","",IFERROR(INDEX(สินค้า!$B$2:$B$101,MATCH(B452,สินค้า!$A$2:$A$101,0)),"ไม่พบรหัส"))</f>
        <v/>
      </c>
      <c r="D452" s="14" t="str">
        <f aca="false">IF(B452="","",IFERROR(INDEX(สินค้า!$D$2:$D$101,MATCH(B452,สินค้า!$A$2:$A$101,0)),""))</f>
        <v/>
      </c>
      <c r="E452" s="6"/>
      <c r="F452" s="8"/>
      <c r="G452" s="8"/>
      <c r="H452" s="8"/>
      <c r="I452" s="15"/>
      <c r="J452" s="15"/>
      <c r="K452" s="10" t="str">
        <f aca="false">IF(J452&lt;&gt;"",J452,IF(I452="","",I452*IFERROR(INDEX(สินค้า!$G$2:$G$101,MATCH(B452,สินค้า!$A$2:$A$101,0)),0)))</f>
        <v/>
      </c>
      <c r="L452" s="16" t="str">
        <f aca="false">IF(OR(F452="",F452=0,G452=""),"",G452/F452)</f>
        <v/>
      </c>
      <c r="M452" s="16" t="str">
        <f aca="false">IF(OR(G452="",G452=0,H452=""),"",H452/G452)</f>
        <v/>
      </c>
    </row>
    <row r="453" customFormat="false" ht="15" hidden="false" customHeight="false" outlineLevel="0" collapsed="false">
      <c r="A453" s="12"/>
      <c r="B453" s="6"/>
      <c r="C453" s="13" t="str">
        <f aca="false">IF(B453="","",IFERROR(INDEX(สินค้า!$B$2:$B$101,MATCH(B453,สินค้า!$A$2:$A$101,0)),"ไม่พบรหัส"))</f>
        <v/>
      </c>
      <c r="D453" s="14" t="str">
        <f aca="false">IF(B453="","",IFERROR(INDEX(สินค้า!$D$2:$D$101,MATCH(B453,สินค้า!$A$2:$A$101,0)),""))</f>
        <v/>
      </c>
      <c r="E453" s="6"/>
      <c r="F453" s="8"/>
      <c r="G453" s="8"/>
      <c r="H453" s="8"/>
      <c r="I453" s="15"/>
      <c r="J453" s="15"/>
      <c r="K453" s="10" t="str">
        <f aca="false">IF(J453&lt;&gt;"",J453,IF(I453="","",I453*IFERROR(INDEX(สินค้า!$G$2:$G$101,MATCH(B453,สินค้า!$A$2:$A$101,0)),0)))</f>
        <v/>
      </c>
      <c r="L453" s="16" t="str">
        <f aca="false">IF(OR(F453="",F453=0,G453=""),"",G453/F453)</f>
        <v/>
      </c>
      <c r="M453" s="16" t="str">
        <f aca="false">IF(OR(G453="",G453=0,H453=""),"",H453/G453)</f>
        <v/>
      </c>
    </row>
    <row r="454" customFormat="false" ht="15" hidden="false" customHeight="false" outlineLevel="0" collapsed="false">
      <c r="A454" s="12"/>
      <c r="B454" s="6"/>
      <c r="C454" s="13" t="str">
        <f aca="false">IF(B454="","",IFERROR(INDEX(สินค้า!$B$2:$B$101,MATCH(B454,สินค้า!$A$2:$A$101,0)),"ไม่พบรหัส"))</f>
        <v/>
      </c>
      <c r="D454" s="14" t="str">
        <f aca="false">IF(B454="","",IFERROR(INDEX(สินค้า!$D$2:$D$101,MATCH(B454,สินค้า!$A$2:$A$101,0)),""))</f>
        <v/>
      </c>
      <c r="E454" s="6"/>
      <c r="F454" s="8"/>
      <c r="G454" s="8"/>
      <c r="H454" s="8"/>
      <c r="I454" s="15"/>
      <c r="J454" s="15"/>
      <c r="K454" s="10" t="str">
        <f aca="false">IF(J454&lt;&gt;"",J454,IF(I454="","",I454*IFERROR(INDEX(สินค้า!$G$2:$G$101,MATCH(B454,สินค้า!$A$2:$A$101,0)),0)))</f>
        <v/>
      </c>
      <c r="L454" s="16" t="str">
        <f aca="false">IF(OR(F454="",F454=0,G454=""),"",G454/F454)</f>
        <v/>
      </c>
      <c r="M454" s="16" t="str">
        <f aca="false">IF(OR(G454="",G454=0,H454=""),"",H454/G454)</f>
        <v/>
      </c>
    </row>
    <row r="455" customFormat="false" ht="15" hidden="false" customHeight="false" outlineLevel="0" collapsed="false">
      <c r="A455" s="12"/>
      <c r="B455" s="6"/>
      <c r="C455" s="13" t="str">
        <f aca="false">IF(B455="","",IFERROR(INDEX(สินค้า!$B$2:$B$101,MATCH(B455,สินค้า!$A$2:$A$101,0)),"ไม่พบรหัส"))</f>
        <v/>
      </c>
      <c r="D455" s="14" t="str">
        <f aca="false">IF(B455="","",IFERROR(INDEX(สินค้า!$D$2:$D$101,MATCH(B455,สินค้า!$A$2:$A$101,0)),""))</f>
        <v/>
      </c>
      <c r="E455" s="6"/>
      <c r="F455" s="8"/>
      <c r="G455" s="8"/>
      <c r="H455" s="8"/>
      <c r="I455" s="15"/>
      <c r="J455" s="15"/>
      <c r="K455" s="10" t="str">
        <f aca="false">IF(J455&lt;&gt;"",J455,IF(I455="","",I455*IFERROR(INDEX(สินค้า!$G$2:$G$101,MATCH(B455,สินค้า!$A$2:$A$101,0)),0)))</f>
        <v/>
      </c>
      <c r="L455" s="16" t="str">
        <f aca="false">IF(OR(F455="",F455=0,G455=""),"",G455/F455)</f>
        <v/>
      </c>
      <c r="M455" s="16" t="str">
        <f aca="false">IF(OR(G455="",G455=0,H455=""),"",H455/G455)</f>
        <v/>
      </c>
    </row>
    <row r="456" customFormat="false" ht="15" hidden="false" customHeight="false" outlineLevel="0" collapsed="false">
      <c r="A456" s="12"/>
      <c r="B456" s="6"/>
      <c r="C456" s="13" t="str">
        <f aca="false">IF(B456="","",IFERROR(INDEX(สินค้า!$B$2:$B$101,MATCH(B456,สินค้า!$A$2:$A$101,0)),"ไม่พบรหัส"))</f>
        <v/>
      </c>
      <c r="D456" s="14" t="str">
        <f aca="false">IF(B456="","",IFERROR(INDEX(สินค้า!$D$2:$D$101,MATCH(B456,สินค้า!$A$2:$A$101,0)),""))</f>
        <v/>
      </c>
      <c r="E456" s="6"/>
      <c r="F456" s="8"/>
      <c r="G456" s="8"/>
      <c r="H456" s="8"/>
      <c r="I456" s="15"/>
      <c r="J456" s="15"/>
      <c r="K456" s="10" t="str">
        <f aca="false">IF(J456&lt;&gt;"",J456,IF(I456="","",I456*IFERROR(INDEX(สินค้า!$G$2:$G$101,MATCH(B456,สินค้า!$A$2:$A$101,0)),0)))</f>
        <v/>
      </c>
      <c r="L456" s="16" t="str">
        <f aca="false">IF(OR(F456="",F456=0,G456=""),"",G456/F456)</f>
        <v/>
      </c>
      <c r="M456" s="16" t="str">
        <f aca="false">IF(OR(G456="",G456=0,H456=""),"",H456/G456)</f>
        <v/>
      </c>
    </row>
    <row r="457" customFormat="false" ht="15" hidden="false" customHeight="false" outlineLevel="0" collapsed="false">
      <c r="A457" s="12"/>
      <c r="B457" s="6"/>
      <c r="C457" s="13" t="str">
        <f aca="false">IF(B457="","",IFERROR(INDEX(สินค้า!$B$2:$B$101,MATCH(B457,สินค้า!$A$2:$A$101,0)),"ไม่พบรหัส"))</f>
        <v/>
      </c>
      <c r="D457" s="14" t="str">
        <f aca="false">IF(B457="","",IFERROR(INDEX(สินค้า!$D$2:$D$101,MATCH(B457,สินค้า!$A$2:$A$101,0)),""))</f>
        <v/>
      </c>
      <c r="E457" s="6"/>
      <c r="F457" s="8"/>
      <c r="G457" s="8"/>
      <c r="H457" s="8"/>
      <c r="I457" s="15"/>
      <c r="J457" s="15"/>
      <c r="K457" s="10" t="str">
        <f aca="false">IF(J457&lt;&gt;"",J457,IF(I457="","",I457*IFERROR(INDEX(สินค้า!$G$2:$G$101,MATCH(B457,สินค้า!$A$2:$A$101,0)),0)))</f>
        <v/>
      </c>
      <c r="L457" s="16" t="str">
        <f aca="false">IF(OR(F457="",F457=0,G457=""),"",G457/F457)</f>
        <v/>
      </c>
      <c r="M457" s="16" t="str">
        <f aca="false">IF(OR(G457="",G457=0,H457=""),"",H457/G457)</f>
        <v/>
      </c>
    </row>
    <row r="458" customFormat="false" ht="15" hidden="false" customHeight="false" outlineLevel="0" collapsed="false">
      <c r="A458" s="12"/>
      <c r="B458" s="6"/>
      <c r="C458" s="13" t="str">
        <f aca="false">IF(B458="","",IFERROR(INDEX(สินค้า!$B$2:$B$101,MATCH(B458,สินค้า!$A$2:$A$101,0)),"ไม่พบรหัส"))</f>
        <v/>
      </c>
      <c r="D458" s="14" t="str">
        <f aca="false">IF(B458="","",IFERROR(INDEX(สินค้า!$D$2:$D$101,MATCH(B458,สินค้า!$A$2:$A$101,0)),""))</f>
        <v/>
      </c>
      <c r="E458" s="6"/>
      <c r="F458" s="8"/>
      <c r="G458" s="8"/>
      <c r="H458" s="8"/>
      <c r="I458" s="15"/>
      <c r="J458" s="15"/>
      <c r="K458" s="10" t="str">
        <f aca="false">IF(J458&lt;&gt;"",J458,IF(I458="","",I458*IFERROR(INDEX(สินค้า!$G$2:$G$101,MATCH(B458,สินค้า!$A$2:$A$101,0)),0)))</f>
        <v/>
      </c>
      <c r="L458" s="16" t="str">
        <f aca="false">IF(OR(F458="",F458=0,G458=""),"",G458/F458)</f>
        <v/>
      </c>
      <c r="M458" s="16" t="str">
        <f aca="false">IF(OR(G458="",G458=0,H458=""),"",H458/G458)</f>
        <v/>
      </c>
    </row>
    <row r="459" customFormat="false" ht="15" hidden="false" customHeight="false" outlineLevel="0" collapsed="false">
      <c r="A459" s="12"/>
      <c r="B459" s="6"/>
      <c r="C459" s="13" t="str">
        <f aca="false">IF(B459="","",IFERROR(INDEX(สินค้า!$B$2:$B$101,MATCH(B459,สินค้า!$A$2:$A$101,0)),"ไม่พบรหัส"))</f>
        <v/>
      </c>
      <c r="D459" s="14" t="str">
        <f aca="false">IF(B459="","",IFERROR(INDEX(สินค้า!$D$2:$D$101,MATCH(B459,สินค้า!$A$2:$A$101,0)),""))</f>
        <v/>
      </c>
      <c r="E459" s="6"/>
      <c r="F459" s="8"/>
      <c r="G459" s="8"/>
      <c r="H459" s="8"/>
      <c r="I459" s="15"/>
      <c r="J459" s="15"/>
      <c r="K459" s="10" t="str">
        <f aca="false">IF(J459&lt;&gt;"",J459,IF(I459="","",I459*IFERROR(INDEX(สินค้า!$G$2:$G$101,MATCH(B459,สินค้า!$A$2:$A$101,0)),0)))</f>
        <v/>
      </c>
      <c r="L459" s="16" t="str">
        <f aca="false">IF(OR(F459="",F459=0,G459=""),"",G459/F459)</f>
        <v/>
      </c>
      <c r="M459" s="16" t="str">
        <f aca="false">IF(OR(G459="",G459=0,H459=""),"",H459/G459)</f>
        <v/>
      </c>
    </row>
    <row r="460" customFormat="false" ht="15" hidden="false" customHeight="false" outlineLevel="0" collapsed="false">
      <c r="A460" s="12"/>
      <c r="B460" s="6"/>
      <c r="C460" s="13" t="str">
        <f aca="false">IF(B460="","",IFERROR(INDEX(สินค้า!$B$2:$B$101,MATCH(B460,สินค้า!$A$2:$A$101,0)),"ไม่พบรหัส"))</f>
        <v/>
      </c>
      <c r="D460" s="14" t="str">
        <f aca="false">IF(B460="","",IFERROR(INDEX(สินค้า!$D$2:$D$101,MATCH(B460,สินค้า!$A$2:$A$101,0)),""))</f>
        <v/>
      </c>
      <c r="E460" s="6"/>
      <c r="F460" s="8"/>
      <c r="G460" s="8"/>
      <c r="H460" s="8"/>
      <c r="I460" s="15"/>
      <c r="J460" s="15"/>
      <c r="K460" s="10" t="str">
        <f aca="false">IF(J460&lt;&gt;"",J460,IF(I460="","",I460*IFERROR(INDEX(สินค้า!$G$2:$G$101,MATCH(B460,สินค้า!$A$2:$A$101,0)),0)))</f>
        <v/>
      </c>
      <c r="L460" s="16" t="str">
        <f aca="false">IF(OR(F460="",F460=0,G460=""),"",G460/F460)</f>
        <v/>
      </c>
      <c r="M460" s="16" t="str">
        <f aca="false">IF(OR(G460="",G460=0,H460=""),"",H460/G460)</f>
        <v/>
      </c>
    </row>
    <row r="461" customFormat="false" ht="15" hidden="false" customHeight="false" outlineLevel="0" collapsed="false">
      <c r="A461" s="12"/>
      <c r="B461" s="6"/>
      <c r="C461" s="13" t="str">
        <f aca="false">IF(B461="","",IFERROR(INDEX(สินค้า!$B$2:$B$101,MATCH(B461,สินค้า!$A$2:$A$101,0)),"ไม่พบรหัส"))</f>
        <v/>
      </c>
      <c r="D461" s="14" t="str">
        <f aca="false">IF(B461="","",IFERROR(INDEX(สินค้า!$D$2:$D$101,MATCH(B461,สินค้า!$A$2:$A$101,0)),""))</f>
        <v/>
      </c>
      <c r="E461" s="6"/>
      <c r="F461" s="8"/>
      <c r="G461" s="8"/>
      <c r="H461" s="8"/>
      <c r="I461" s="15"/>
      <c r="J461" s="15"/>
      <c r="K461" s="10" t="str">
        <f aca="false">IF(J461&lt;&gt;"",J461,IF(I461="","",I461*IFERROR(INDEX(สินค้า!$G$2:$G$101,MATCH(B461,สินค้า!$A$2:$A$101,0)),0)))</f>
        <v/>
      </c>
      <c r="L461" s="16" t="str">
        <f aca="false">IF(OR(F461="",F461=0,G461=""),"",G461/F461)</f>
        <v/>
      </c>
      <c r="M461" s="16" t="str">
        <f aca="false">IF(OR(G461="",G461=0,H461=""),"",H461/G461)</f>
        <v/>
      </c>
    </row>
    <row r="462" customFormat="false" ht="15" hidden="false" customHeight="false" outlineLevel="0" collapsed="false">
      <c r="A462" s="12"/>
      <c r="B462" s="6"/>
      <c r="C462" s="13" t="str">
        <f aca="false">IF(B462="","",IFERROR(INDEX(สินค้า!$B$2:$B$101,MATCH(B462,สินค้า!$A$2:$A$101,0)),"ไม่พบรหัส"))</f>
        <v/>
      </c>
      <c r="D462" s="14" t="str">
        <f aca="false">IF(B462="","",IFERROR(INDEX(สินค้า!$D$2:$D$101,MATCH(B462,สินค้า!$A$2:$A$101,0)),""))</f>
        <v/>
      </c>
      <c r="E462" s="6"/>
      <c r="F462" s="8"/>
      <c r="G462" s="8"/>
      <c r="H462" s="8"/>
      <c r="I462" s="15"/>
      <c r="J462" s="15"/>
      <c r="K462" s="10" t="str">
        <f aca="false">IF(J462&lt;&gt;"",J462,IF(I462="","",I462*IFERROR(INDEX(สินค้า!$G$2:$G$101,MATCH(B462,สินค้า!$A$2:$A$101,0)),0)))</f>
        <v/>
      </c>
      <c r="L462" s="16" t="str">
        <f aca="false">IF(OR(F462="",F462=0,G462=""),"",G462/F462)</f>
        <v/>
      </c>
      <c r="M462" s="16" t="str">
        <f aca="false">IF(OR(G462="",G462=0,H462=""),"",H462/G462)</f>
        <v/>
      </c>
    </row>
    <row r="463" customFormat="false" ht="15" hidden="false" customHeight="false" outlineLevel="0" collapsed="false">
      <c r="A463" s="12"/>
      <c r="B463" s="6"/>
      <c r="C463" s="13" t="str">
        <f aca="false">IF(B463="","",IFERROR(INDEX(สินค้า!$B$2:$B$101,MATCH(B463,สินค้า!$A$2:$A$101,0)),"ไม่พบรหัส"))</f>
        <v/>
      </c>
      <c r="D463" s="14" t="str">
        <f aca="false">IF(B463="","",IFERROR(INDEX(สินค้า!$D$2:$D$101,MATCH(B463,สินค้า!$A$2:$A$101,0)),""))</f>
        <v/>
      </c>
      <c r="E463" s="6"/>
      <c r="F463" s="8"/>
      <c r="G463" s="8"/>
      <c r="H463" s="8"/>
      <c r="I463" s="15"/>
      <c r="J463" s="15"/>
      <c r="K463" s="10" t="str">
        <f aca="false">IF(J463&lt;&gt;"",J463,IF(I463="","",I463*IFERROR(INDEX(สินค้า!$G$2:$G$101,MATCH(B463,สินค้า!$A$2:$A$101,0)),0)))</f>
        <v/>
      </c>
      <c r="L463" s="16" t="str">
        <f aca="false">IF(OR(F463="",F463=0,G463=""),"",G463/F463)</f>
        <v/>
      </c>
      <c r="M463" s="16" t="str">
        <f aca="false">IF(OR(G463="",G463=0,H463=""),"",H463/G463)</f>
        <v/>
      </c>
    </row>
    <row r="464" customFormat="false" ht="15" hidden="false" customHeight="false" outlineLevel="0" collapsed="false">
      <c r="A464" s="12"/>
      <c r="B464" s="6"/>
      <c r="C464" s="13" t="str">
        <f aca="false">IF(B464="","",IFERROR(INDEX(สินค้า!$B$2:$B$101,MATCH(B464,สินค้า!$A$2:$A$101,0)),"ไม่พบรหัส"))</f>
        <v/>
      </c>
      <c r="D464" s="14" t="str">
        <f aca="false">IF(B464="","",IFERROR(INDEX(สินค้า!$D$2:$D$101,MATCH(B464,สินค้า!$A$2:$A$101,0)),""))</f>
        <v/>
      </c>
      <c r="E464" s="6"/>
      <c r="F464" s="8"/>
      <c r="G464" s="8"/>
      <c r="H464" s="8"/>
      <c r="I464" s="15"/>
      <c r="J464" s="15"/>
      <c r="K464" s="10" t="str">
        <f aca="false">IF(J464&lt;&gt;"",J464,IF(I464="","",I464*IFERROR(INDEX(สินค้า!$G$2:$G$101,MATCH(B464,สินค้า!$A$2:$A$101,0)),0)))</f>
        <v/>
      </c>
      <c r="L464" s="16" t="str">
        <f aca="false">IF(OR(F464="",F464=0,G464=""),"",G464/F464)</f>
        <v/>
      </c>
      <c r="M464" s="16" t="str">
        <f aca="false">IF(OR(G464="",G464=0,H464=""),"",H464/G464)</f>
        <v/>
      </c>
    </row>
    <row r="465" customFormat="false" ht="15" hidden="false" customHeight="false" outlineLevel="0" collapsed="false">
      <c r="A465" s="12"/>
      <c r="B465" s="6"/>
      <c r="C465" s="13" t="str">
        <f aca="false">IF(B465="","",IFERROR(INDEX(สินค้า!$B$2:$B$101,MATCH(B465,สินค้า!$A$2:$A$101,0)),"ไม่พบรหัส"))</f>
        <v/>
      </c>
      <c r="D465" s="14" t="str">
        <f aca="false">IF(B465="","",IFERROR(INDEX(สินค้า!$D$2:$D$101,MATCH(B465,สินค้า!$A$2:$A$101,0)),""))</f>
        <v/>
      </c>
      <c r="E465" s="6"/>
      <c r="F465" s="8"/>
      <c r="G465" s="8"/>
      <c r="H465" s="8"/>
      <c r="I465" s="15"/>
      <c r="J465" s="15"/>
      <c r="K465" s="10" t="str">
        <f aca="false">IF(J465&lt;&gt;"",J465,IF(I465="","",I465*IFERROR(INDEX(สินค้า!$G$2:$G$101,MATCH(B465,สินค้า!$A$2:$A$101,0)),0)))</f>
        <v/>
      </c>
      <c r="L465" s="16" t="str">
        <f aca="false">IF(OR(F465="",F465=0,G465=""),"",G465/F465)</f>
        <v/>
      </c>
      <c r="M465" s="16" t="str">
        <f aca="false">IF(OR(G465="",G465=0,H465=""),"",H465/G465)</f>
        <v/>
      </c>
    </row>
    <row r="466" customFormat="false" ht="15" hidden="false" customHeight="false" outlineLevel="0" collapsed="false">
      <c r="A466" s="12"/>
      <c r="B466" s="6"/>
      <c r="C466" s="13" t="str">
        <f aca="false">IF(B466="","",IFERROR(INDEX(สินค้า!$B$2:$B$101,MATCH(B466,สินค้า!$A$2:$A$101,0)),"ไม่พบรหัส"))</f>
        <v/>
      </c>
      <c r="D466" s="14" t="str">
        <f aca="false">IF(B466="","",IFERROR(INDEX(สินค้า!$D$2:$D$101,MATCH(B466,สินค้า!$A$2:$A$101,0)),""))</f>
        <v/>
      </c>
      <c r="E466" s="6"/>
      <c r="F466" s="8"/>
      <c r="G466" s="8"/>
      <c r="H466" s="8"/>
      <c r="I466" s="15"/>
      <c r="J466" s="15"/>
      <c r="K466" s="10" t="str">
        <f aca="false">IF(J466&lt;&gt;"",J466,IF(I466="","",I466*IFERROR(INDEX(สินค้า!$G$2:$G$101,MATCH(B466,สินค้า!$A$2:$A$101,0)),0)))</f>
        <v/>
      </c>
      <c r="L466" s="16" t="str">
        <f aca="false">IF(OR(F466="",F466=0,G466=""),"",G466/F466)</f>
        <v/>
      </c>
      <c r="M466" s="16" t="str">
        <f aca="false">IF(OR(G466="",G466=0,H466=""),"",H466/G466)</f>
        <v/>
      </c>
    </row>
    <row r="467" customFormat="false" ht="15" hidden="false" customHeight="false" outlineLevel="0" collapsed="false">
      <c r="A467" s="12"/>
      <c r="B467" s="6"/>
      <c r="C467" s="13" t="str">
        <f aca="false">IF(B467="","",IFERROR(INDEX(สินค้า!$B$2:$B$101,MATCH(B467,สินค้า!$A$2:$A$101,0)),"ไม่พบรหัส"))</f>
        <v/>
      </c>
      <c r="D467" s="14" t="str">
        <f aca="false">IF(B467="","",IFERROR(INDEX(สินค้า!$D$2:$D$101,MATCH(B467,สินค้า!$A$2:$A$101,0)),""))</f>
        <v/>
      </c>
      <c r="E467" s="6"/>
      <c r="F467" s="8"/>
      <c r="G467" s="8"/>
      <c r="H467" s="8"/>
      <c r="I467" s="15"/>
      <c r="J467" s="15"/>
      <c r="K467" s="10" t="str">
        <f aca="false">IF(J467&lt;&gt;"",J467,IF(I467="","",I467*IFERROR(INDEX(สินค้า!$G$2:$G$101,MATCH(B467,สินค้า!$A$2:$A$101,0)),0)))</f>
        <v/>
      </c>
      <c r="L467" s="16" t="str">
        <f aca="false">IF(OR(F467="",F467=0,G467=""),"",G467/F467)</f>
        <v/>
      </c>
      <c r="M467" s="16" t="str">
        <f aca="false">IF(OR(G467="",G467=0,H467=""),"",H467/G467)</f>
        <v/>
      </c>
    </row>
    <row r="468" customFormat="false" ht="15" hidden="false" customHeight="false" outlineLevel="0" collapsed="false">
      <c r="A468" s="12"/>
      <c r="B468" s="6"/>
      <c r="C468" s="13" t="str">
        <f aca="false">IF(B468="","",IFERROR(INDEX(สินค้า!$B$2:$B$101,MATCH(B468,สินค้า!$A$2:$A$101,0)),"ไม่พบรหัส"))</f>
        <v/>
      </c>
      <c r="D468" s="14" t="str">
        <f aca="false">IF(B468="","",IFERROR(INDEX(สินค้า!$D$2:$D$101,MATCH(B468,สินค้า!$A$2:$A$101,0)),""))</f>
        <v/>
      </c>
      <c r="E468" s="6"/>
      <c r="F468" s="8"/>
      <c r="G468" s="8"/>
      <c r="H468" s="8"/>
      <c r="I468" s="15"/>
      <c r="J468" s="15"/>
      <c r="K468" s="10" t="str">
        <f aca="false">IF(J468&lt;&gt;"",J468,IF(I468="","",I468*IFERROR(INDEX(สินค้า!$G$2:$G$101,MATCH(B468,สินค้า!$A$2:$A$101,0)),0)))</f>
        <v/>
      </c>
      <c r="L468" s="16" t="str">
        <f aca="false">IF(OR(F468="",F468=0,G468=""),"",G468/F468)</f>
        <v/>
      </c>
      <c r="M468" s="16" t="str">
        <f aca="false">IF(OR(G468="",G468=0,H468=""),"",H468/G468)</f>
        <v/>
      </c>
    </row>
    <row r="469" customFormat="false" ht="15" hidden="false" customHeight="false" outlineLevel="0" collapsed="false">
      <c r="A469" s="12"/>
      <c r="B469" s="6"/>
      <c r="C469" s="13" t="str">
        <f aca="false">IF(B469="","",IFERROR(INDEX(สินค้า!$B$2:$B$101,MATCH(B469,สินค้า!$A$2:$A$101,0)),"ไม่พบรหัส"))</f>
        <v/>
      </c>
      <c r="D469" s="14" t="str">
        <f aca="false">IF(B469="","",IFERROR(INDEX(สินค้า!$D$2:$D$101,MATCH(B469,สินค้า!$A$2:$A$101,0)),""))</f>
        <v/>
      </c>
      <c r="E469" s="6"/>
      <c r="F469" s="8"/>
      <c r="G469" s="8"/>
      <c r="H469" s="8"/>
      <c r="I469" s="15"/>
      <c r="J469" s="15"/>
      <c r="K469" s="10" t="str">
        <f aca="false">IF(J469&lt;&gt;"",J469,IF(I469="","",I469*IFERROR(INDEX(สินค้า!$G$2:$G$101,MATCH(B469,สินค้า!$A$2:$A$101,0)),0)))</f>
        <v/>
      </c>
      <c r="L469" s="16" t="str">
        <f aca="false">IF(OR(F469="",F469=0,G469=""),"",G469/F469)</f>
        <v/>
      </c>
      <c r="M469" s="16" t="str">
        <f aca="false">IF(OR(G469="",G469=0,H469=""),"",H469/G469)</f>
        <v/>
      </c>
    </row>
    <row r="470" customFormat="false" ht="15" hidden="false" customHeight="false" outlineLevel="0" collapsed="false">
      <c r="A470" s="12"/>
      <c r="B470" s="6"/>
      <c r="C470" s="13" t="str">
        <f aca="false">IF(B470="","",IFERROR(INDEX(สินค้า!$B$2:$B$101,MATCH(B470,สินค้า!$A$2:$A$101,0)),"ไม่พบรหัส"))</f>
        <v/>
      </c>
      <c r="D470" s="14" t="str">
        <f aca="false">IF(B470="","",IFERROR(INDEX(สินค้า!$D$2:$D$101,MATCH(B470,สินค้า!$A$2:$A$101,0)),""))</f>
        <v/>
      </c>
      <c r="E470" s="6"/>
      <c r="F470" s="8"/>
      <c r="G470" s="8"/>
      <c r="H470" s="8"/>
      <c r="I470" s="15"/>
      <c r="J470" s="15"/>
      <c r="K470" s="10" t="str">
        <f aca="false">IF(J470&lt;&gt;"",J470,IF(I470="","",I470*IFERROR(INDEX(สินค้า!$G$2:$G$101,MATCH(B470,สินค้า!$A$2:$A$101,0)),0)))</f>
        <v/>
      </c>
      <c r="L470" s="16" t="str">
        <f aca="false">IF(OR(F470="",F470=0,G470=""),"",G470/F470)</f>
        <v/>
      </c>
      <c r="M470" s="16" t="str">
        <f aca="false">IF(OR(G470="",G470=0,H470=""),"",H470/G470)</f>
        <v/>
      </c>
    </row>
    <row r="471" customFormat="false" ht="15" hidden="false" customHeight="false" outlineLevel="0" collapsed="false">
      <c r="A471" s="12"/>
      <c r="B471" s="6"/>
      <c r="C471" s="13" t="str">
        <f aca="false">IF(B471="","",IFERROR(INDEX(สินค้า!$B$2:$B$101,MATCH(B471,สินค้า!$A$2:$A$101,0)),"ไม่พบรหัส"))</f>
        <v/>
      </c>
      <c r="D471" s="14" t="str">
        <f aca="false">IF(B471="","",IFERROR(INDEX(สินค้า!$D$2:$D$101,MATCH(B471,สินค้า!$A$2:$A$101,0)),""))</f>
        <v/>
      </c>
      <c r="E471" s="6"/>
      <c r="F471" s="8"/>
      <c r="G471" s="8"/>
      <c r="H471" s="8"/>
      <c r="I471" s="15"/>
      <c r="J471" s="15"/>
      <c r="K471" s="10" t="str">
        <f aca="false">IF(J471&lt;&gt;"",J471,IF(I471="","",I471*IFERROR(INDEX(สินค้า!$G$2:$G$101,MATCH(B471,สินค้า!$A$2:$A$101,0)),0)))</f>
        <v/>
      </c>
      <c r="L471" s="16" t="str">
        <f aca="false">IF(OR(F471="",F471=0,G471=""),"",G471/F471)</f>
        <v/>
      </c>
      <c r="M471" s="16" t="str">
        <f aca="false">IF(OR(G471="",G471=0,H471=""),"",H471/G471)</f>
        <v/>
      </c>
    </row>
    <row r="472" customFormat="false" ht="15" hidden="false" customHeight="false" outlineLevel="0" collapsed="false">
      <c r="A472" s="12"/>
      <c r="B472" s="6"/>
      <c r="C472" s="13" t="str">
        <f aca="false">IF(B472="","",IFERROR(INDEX(สินค้า!$B$2:$B$101,MATCH(B472,สินค้า!$A$2:$A$101,0)),"ไม่พบรหัส"))</f>
        <v/>
      </c>
      <c r="D472" s="14" t="str">
        <f aca="false">IF(B472="","",IFERROR(INDEX(สินค้า!$D$2:$D$101,MATCH(B472,สินค้า!$A$2:$A$101,0)),""))</f>
        <v/>
      </c>
      <c r="E472" s="6"/>
      <c r="F472" s="8"/>
      <c r="G472" s="8"/>
      <c r="H472" s="8"/>
      <c r="I472" s="15"/>
      <c r="J472" s="15"/>
      <c r="K472" s="10" t="str">
        <f aca="false">IF(J472&lt;&gt;"",J472,IF(I472="","",I472*IFERROR(INDEX(สินค้า!$G$2:$G$101,MATCH(B472,สินค้า!$A$2:$A$101,0)),0)))</f>
        <v/>
      </c>
      <c r="L472" s="16" t="str">
        <f aca="false">IF(OR(F472="",F472=0,G472=""),"",G472/F472)</f>
        <v/>
      </c>
      <c r="M472" s="16" t="str">
        <f aca="false">IF(OR(G472="",G472=0,H472=""),"",H472/G472)</f>
        <v/>
      </c>
    </row>
    <row r="473" customFormat="false" ht="15" hidden="false" customHeight="false" outlineLevel="0" collapsed="false">
      <c r="A473" s="12"/>
      <c r="B473" s="6"/>
      <c r="C473" s="13" t="str">
        <f aca="false">IF(B473="","",IFERROR(INDEX(สินค้า!$B$2:$B$101,MATCH(B473,สินค้า!$A$2:$A$101,0)),"ไม่พบรหัส"))</f>
        <v/>
      </c>
      <c r="D473" s="14" t="str">
        <f aca="false">IF(B473="","",IFERROR(INDEX(สินค้า!$D$2:$D$101,MATCH(B473,สินค้า!$A$2:$A$101,0)),""))</f>
        <v/>
      </c>
      <c r="E473" s="6"/>
      <c r="F473" s="8"/>
      <c r="G473" s="8"/>
      <c r="H473" s="8"/>
      <c r="I473" s="15"/>
      <c r="J473" s="15"/>
      <c r="K473" s="10" t="str">
        <f aca="false">IF(J473&lt;&gt;"",J473,IF(I473="","",I473*IFERROR(INDEX(สินค้า!$G$2:$G$101,MATCH(B473,สินค้า!$A$2:$A$101,0)),0)))</f>
        <v/>
      </c>
      <c r="L473" s="16" t="str">
        <f aca="false">IF(OR(F473="",F473=0,G473=""),"",G473/F473)</f>
        <v/>
      </c>
      <c r="M473" s="16" t="str">
        <f aca="false">IF(OR(G473="",G473=0,H473=""),"",H473/G473)</f>
        <v/>
      </c>
    </row>
    <row r="474" customFormat="false" ht="15" hidden="false" customHeight="false" outlineLevel="0" collapsed="false">
      <c r="A474" s="12"/>
      <c r="B474" s="6"/>
      <c r="C474" s="13" t="str">
        <f aca="false">IF(B474="","",IFERROR(INDEX(สินค้า!$B$2:$B$101,MATCH(B474,สินค้า!$A$2:$A$101,0)),"ไม่พบรหัส"))</f>
        <v/>
      </c>
      <c r="D474" s="14" t="str">
        <f aca="false">IF(B474="","",IFERROR(INDEX(สินค้า!$D$2:$D$101,MATCH(B474,สินค้า!$A$2:$A$101,0)),""))</f>
        <v/>
      </c>
      <c r="E474" s="6"/>
      <c r="F474" s="8"/>
      <c r="G474" s="8"/>
      <c r="H474" s="8"/>
      <c r="I474" s="15"/>
      <c r="J474" s="15"/>
      <c r="K474" s="10" t="str">
        <f aca="false">IF(J474&lt;&gt;"",J474,IF(I474="","",I474*IFERROR(INDEX(สินค้า!$G$2:$G$101,MATCH(B474,สินค้า!$A$2:$A$101,0)),0)))</f>
        <v/>
      </c>
      <c r="L474" s="16" t="str">
        <f aca="false">IF(OR(F474="",F474=0,G474=""),"",G474/F474)</f>
        <v/>
      </c>
      <c r="M474" s="16" t="str">
        <f aca="false">IF(OR(G474="",G474=0,H474=""),"",H474/G474)</f>
        <v/>
      </c>
    </row>
    <row r="475" customFormat="false" ht="15" hidden="false" customHeight="false" outlineLevel="0" collapsed="false">
      <c r="A475" s="12"/>
      <c r="B475" s="6"/>
      <c r="C475" s="13" t="str">
        <f aca="false">IF(B475="","",IFERROR(INDEX(สินค้า!$B$2:$B$101,MATCH(B475,สินค้า!$A$2:$A$101,0)),"ไม่พบรหัส"))</f>
        <v/>
      </c>
      <c r="D475" s="14" t="str">
        <f aca="false">IF(B475="","",IFERROR(INDEX(สินค้า!$D$2:$D$101,MATCH(B475,สินค้า!$A$2:$A$101,0)),""))</f>
        <v/>
      </c>
      <c r="E475" s="6"/>
      <c r="F475" s="8"/>
      <c r="G475" s="8"/>
      <c r="H475" s="8"/>
      <c r="I475" s="15"/>
      <c r="J475" s="15"/>
      <c r="K475" s="10" t="str">
        <f aca="false">IF(J475&lt;&gt;"",J475,IF(I475="","",I475*IFERROR(INDEX(สินค้า!$G$2:$G$101,MATCH(B475,สินค้า!$A$2:$A$101,0)),0)))</f>
        <v/>
      </c>
      <c r="L475" s="16" t="str">
        <f aca="false">IF(OR(F475="",F475=0,G475=""),"",G475/F475)</f>
        <v/>
      </c>
      <c r="M475" s="16" t="str">
        <f aca="false">IF(OR(G475="",G475=0,H475=""),"",H475/G475)</f>
        <v/>
      </c>
    </row>
    <row r="476" customFormat="false" ht="15" hidden="false" customHeight="false" outlineLevel="0" collapsed="false">
      <c r="A476" s="12"/>
      <c r="B476" s="6"/>
      <c r="C476" s="13" t="str">
        <f aca="false">IF(B476="","",IFERROR(INDEX(สินค้า!$B$2:$B$101,MATCH(B476,สินค้า!$A$2:$A$101,0)),"ไม่พบรหัส"))</f>
        <v/>
      </c>
      <c r="D476" s="14" t="str">
        <f aca="false">IF(B476="","",IFERROR(INDEX(สินค้า!$D$2:$D$101,MATCH(B476,สินค้า!$A$2:$A$101,0)),""))</f>
        <v/>
      </c>
      <c r="E476" s="6"/>
      <c r="F476" s="8"/>
      <c r="G476" s="8"/>
      <c r="H476" s="8"/>
      <c r="I476" s="15"/>
      <c r="J476" s="15"/>
      <c r="K476" s="10" t="str">
        <f aca="false">IF(J476&lt;&gt;"",J476,IF(I476="","",I476*IFERROR(INDEX(สินค้า!$G$2:$G$101,MATCH(B476,สินค้า!$A$2:$A$101,0)),0)))</f>
        <v/>
      </c>
      <c r="L476" s="16" t="str">
        <f aca="false">IF(OR(F476="",F476=0,G476=""),"",G476/F476)</f>
        <v/>
      </c>
      <c r="M476" s="16" t="str">
        <f aca="false">IF(OR(G476="",G476=0,H476=""),"",H476/G476)</f>
        <v/>
      </c>
    </row>
    <row r="477" customFormat="false" ht="15" hidden="false" customHeight="false" outlineLevel="0" collapsed="false">
      <c r="A477" s="12"/>
      <c r="B477" s="6"/>
      <c r="C477" s="13" t="str">
        <f aca="false">IF(B477="","",IFERROR(INDEX(สินค้า!$B$2:$B$101,MATCH(B477,สินค้า!$A$2:$A$101,0)),"ไม่พบรหัส"))</f>
        <v/>
      </c>
      <c r="D477" s="14" t="str">
        <f aca="false">IF(B477="","",IFERROR(INDEX(สินค้า!$D$2:$D$101,MATCH(B477,สินค้า!$A$2:$A$101,0)),""))</f>
        <v/>
      </c>
      <c r="E477" s="6"/>
      <c r="F477" s="8"/>
      <c r="G477" s="8"/>
      <c r="H477" s="8"/>
      <c r="I477" s="15"/>
      <c r="J477" s="15"/>
      <c r="K477" s="10" t="str">
        <f aca="false">IF(J477&lt;&gt;"",J477,IF(I477="","",I477*IFERROR(INDEX(สินค้า!$G$2:$G$101,MATCH(B477,สินค้า!$A$2:$A$101,0)),0)))</f>
        <v/>
      </c>
      <c r="L477" s="16" t="str">
        <f aca="false">IF(OR(F477="",F477=0,G477=""),"",G477/F477)</f>
        <v/>
      </c>
      <c r="M477" s="16" t="str">
        <f aca="false">IF(OR(G477="",G477=0,H477=""),"",H477/G477)</f>
        <v/>
      </c>
    </row>
    <row r="478" customFormat="false" ht="15" hidden="false" customHeight="false" outlineLevel="0" collapsed="false">
      <c r="A478" s="12"/>
      <c r="B478" s="6"/>
      <c r="C478" s="13" t="str">
        <f aca="false">IF(B478="","",IFERROR(INDEX(สินค้า!$B$2:$B$101,MATCH(B478,สินค้า!$A$2:$A$101,0)),"ไม่พบรหัส"))</f>
        <v/>
      </c>
      <c r="D478" s="14" t="str">
        <f aca="false">IF(B478="","",IFERROR(INDEX(สินค้า!$D$2:$D$101,MATCH(B478,สินค้า!$A$2:$A$101,0)),""))</f>
        <v/>
      </c>
      <c r="E478" s="6"/>
      <c r="F478" s="8"/>
      <c r="G478" s="8"/>
      <c r="H478" s="8"/>
      <c r="I478" s="15"/>
      <c r="J478" s="15"/>
      <c r="K478" s="10" t="str">
        <f aca="false">IF(J478&lt;&gt;"",J478,IF(I478="","",I478*IFERROR(INDEX(สินค้า!$G$2:$G$101,MATCH(B478,สินค้า!$A$2:$A$101,0)),0)))</f>
        <v/>
      </c>
      <c r="L478" s="16" t="str">
        <f aca="false">IF(OR(F478="",F478=0,G478=""),"",G478/F478)</f>
        <v/>
      </c>
      <c r="M478" s="16" t="str">
        <f aca="false">IF(OR(G478="",G478=0,H478=""),"",H478/G478)</f>
        <v/>
      </c>
    </row>
    <row r="479" customFormat="false" ht="15" hidden="false" customHeight="false" outlineLevel="0" collapsed="false">
      <c r="A479" s="12"/>
      <c r="B479" s="6"/>
      <c r="C479" s="13" t="str">
        <f aca="false">IF(B479="","",IFERROR(INDEX(สินค้า!$B$2:$B$101,MATCH(B479,สินค้า!$A$2:$A$101,0)),"ไม่พบรหัส"))</f>
        <v/>
      </c>
      <c r="D479" s="14" t="str">
        <f aca="false">IF(B479="","",IFERROR(INDEX(สินค้า!$D$2:$D$101,MATCH(B479,สินค้า!$A$2:$A$101,0)),""))</f>
        <v/>
      </c>
      <c r="E479" s="6"/>
      <c r="F479" s="8"/>
      <c r="G479" s="8"/>
      <c r="H479" s="8"/>
      <c r="I479" s="15"/>
      <c r="J479" s="15"/>
      <c r="K479" s="10" t="str">
        <f aca="false">IF(J479&lt;&gt;"",J479,IF(I479="","",I479*IFERROR(INDEX(สินค้า!$G$2:$G$101,MATCH(B479,สินค้า!$A$2:$A$101,0)),0)))</f>
        <v/>
      </c>
      <c r="L479" s="16" t="str">
        <f aca="false">IF(OR(F479="",F479=0,G479=""),"",G479/F479)</f>
        <v/>
      </c>
      <c r="M479" s="16" t="str">
        <f aca="false">IF(OR(G479="",G479=0,H479=""),"",H479/G479)</f>
        <v/>
      </c>
    </row>
    <row r="480" customFormat="false" ht="15" hidden="false" customHeight="false" outlineLevel="0" collapsed="false">
      <c r="A480" s="12"/>
      <c r="B480" s="6"/>
      <c r="C480" s="13" t="str">
        <f aca="false">IF(B480="","",IFERROR(INDEX(สินค้า!$B$2:$B$101,MATCH(B480,สินค้า!$A$2:$A$101,0)),"ไม่พบรหัส"))</f>
        <v/>
      </c>
      <c r="D480" s="14" t="str">
        <f aca="false">IF(B480="","",IFERROR(INDEX(สินค้า!$D$2:$D$101,MATCH(B480,สินค้า!$A$2:$A$101,0)),""))</f>
        <v/>
      </c>
      <c r="E480" s="6"/>
      <c r="F480" s="8"/>
      <c r="G480" s="8"/>
      <c r="H480" s="8"/>
      <c r="I480" s="15"/>
      <c r="J480" s="15"/>
      <c r="K480" s="10" t="str">
        <f aca="false">IF(J480&lt;&gt;"",J480,IF(I480="","",I480*IFERROR(INDEX(สินค้า!$G$2:$G$101,MATCH(B480,สินค้า!$A$2:$A$101,0)),0)))</f>
        <v/>
      </c>
      <c r="L480" s="16" t="str">
        <f aca="false">IF(OR(F480="",F480=0,G480=""),"",G480/F480)</f>
        <v/>
      </c>
      <c r="M480" s="16" t="str">
        <f aca="false">IF(OR(G480="",G480=0,H480=""),"",H480/G480)</f>
        <v/>
      </c>
    </row>
    <row r="481" customFormat="false" ht="15" hidden="false" customHeight="false" outlineLevel="0" collapsed="false">
      <c r="A481" s="12"/>
      <c r="B481" s="6"/>
      <c r="C481" s="13" t="str">
        <f aca="false">IF(B481="","",IFERROR(INDEX(สินค้า!$B$2:$B$101,MATCH(B481,สินค้า!$A$2:$A$101,0)),"ไม่พบรหัส"))</f>
        <v/>
      </c>
      <c r="D481" s="14" t="str">
        <f aca="false">IF(B481="","",IFERROR(INDEX(สินค้า!$D$2:$D$101,MATCH(B481,สินค้า!$A$2:$A$101,0)),""))</f>
        <v/>
      </c>
      <c r="E481" s="6"/>
      <c r="F481" s="8"/>
      <c r="G481" s="8"/>
      <c r="H481" s="8"/>
      <c r="I481" s="15"/>
      <c r="J481" s="15"/>
      <c r="K481" s="10" t="str">
        <f aca="false">IF(J481&lt;&gt;"",J481,IF(I481="","",I481*IFERROR(INDEX(สินค้า!$G$2:$G$101,MATCH(B481,สินค้า!$A$2:$A$101,0)),0)))</f>
        <v/>
      </c>
      <c r="L481" s="16" t="str">
        <f aca="false">IF(OR(F481="",F481=0,G481=""),"",G481/F481)</f>
        <v/>
      </c>
      <c r="M481" s="16" t="str">
        <f aca="false">IF(OR(G481="",G481=0,H481=""),"",H481/G481)</f>
        <v/>
      </c>
    </row>
    <row r="482" customFormat="false" ht="15" hidden="false" customHeight="false" outlineLevel="0" collapsed="false">
      <c r="A482" s="12"/>
      <c r="B482" s="6"/>
      <c r="C482" s="13" t="str">
        <f aca="false">IF(B482="","",IFERROR(INDEX(สินค้า!$B$2:$B$101,MATCH(B482,สินค้า!$A$2:$A$101,0)),"ไม่พบรหัส"))</f>
        <v/>
      </c>
      <c r="D482" s="14" t="str">
        <f aca="false">IF(B482="","",IFERROR(INDEX(สินค้า!$D$2:$D$101,MATCH(B482,สินค้า!$A$2:$A$101,0)),""))</f>
        <v/>
      </c>
      <c r="E482" s="6"/>
      <c r="F482" s="8"/>
      <c r="G482" s="8"/>
      <c r="H482" s="8"/>
      <c r="I482" s="15"/>
      <c r="J482" s="15"/>
      <c r="K482" s="10" t="str">
        <f aca="false">IF(J482&lt;&gt;"",J482,IF(I482="","",I482*IFERROR(INDEX(สินค้า!$G$2:$G$101,MATCH(B482,สินค้า!$A$2:$A$101,0)),0)))</f>
        <v/>
      </c>
      <c r="L482" s="16" t="str">
        <f aca="false">IF(OR(F482="",F482=0,G482=""),"",G482/F482)</f>
        <v/>
      </c>
      <c r="M482" s="16" t="str">
        <f aca="false">IF(OR(G482="",G482=0,H482=""),"",H482/G482)</f>
        <v/>
      </c>
    </row>
    <row r="483" customFormat="false" ht="15" hidden="false" customHeight="false" outlineLevel="0" collapsed="false">
      <c r="A483" s="12"/>
      <c r="B483" s="6"/>
      <c r="C483" s="13" t="str">
        <f aca="false">IF(B483="","",IFERROR(INDEX(สินค้า!$B$2:$B$101,MATCH(B483,สินค้า!$A$2:$A$101,0)),"ไม่พบรหัส"))</f>
        <v/>
      </c>
      <c r="D483" s="14" t="str">
        <f aca="false">IF(B483="","",IFERROR(INDEX(สินค้า!$D$2:$D$101,MATCH(B483,สินค้า!$A$2:$A$101,0)),""))</f>
        <v/>
      </c>
      <c r="E483" s="6"/>
      <c r="F483" s="8"/>
      <c r="G483" s="8"/>
      <c r="H483" s="8"/>
      <c r="I483" s="15"/>
      <c r="J483" s="15"/>
      <c r="K483" s="10" t="str">
        <f aca="false">IF(J483&lt;&gt;"",J483,IF(I483="","",I483*IFERROR(INDEX(สินค้า!$G$2:$G$101,MATCH(B483,สินค้า!$A$2:$A$101,0)),0)))</f>
        <v/>
      </c>
      <c r="L483" s="16" t="str">
        <f aca="false">IF(OR(F483="",F483=0,G483=""),"",G483/F483)</f>
        <v/>
      </c>
      <c r="M483" s="16" t="str">
        <f aca="false">IF(OR(G483="",G483=0,H483=""),"",H483/G483)</f>
        <v/>
      </c>
    </row>
    <row r="484" customFormat="false" ht="15" hidden="false" customHeight="false" outlineLevel="0" collapsed="false">
      <c r="A484" s="12"/>
      <c r="B484" s="6"/>
      <c r="C484" s="13" t="str">
        <f aca="false">IF(B484="","",IFERROR(INDEX(สินค้า!$B$2:$B$101,MATCH(B484,สินค้า!$A$2:$A$101,0)),"ไม่พบรหัส"))</f>
        <v/>
      </c>
      <c r="D484" s="14" t="str">
        <f aca="false">IF(B484="","",IFERROR(INDEX(สินค้า!$D$2:$D$101,MATCH(B484,สินค้า!$A$2:$A$101,0)),""))</f>
        <v/>
      </c>
      <c r="E484" s="6"/>
      <c r="F484" s="8"/>
      <c r="G484" s="8"/>
      <c r="H484" s="8"/>
      <c r="I484" s="15"/>
      <c r="J484" s="15"/>
      <c r="K484" s="10" t="str">
        <f aca="false">IF(J484&lt;&gt;"",J484,IF(I484="","",I484*IFERROR(INDEX(สินค้า!$G$2:$G$101,MATCH(B484,สินค้า!$A$2:$A$101,0)),0)))</f>
        <v/>
      </c>
      <c r="L484" s="16" t="str">
        <f aca="false">IF(OR(F484="",F484=0,G484=""),"",G484/F484)</f>
        <v/>
      </c>
      <c r="M484" s="16" t="str">
        <f aca="false">IF(OR(G484="",G484=0,H484=""),"",H484/G484)</f>
        <v/>
      </c>
    </row>
    <row r="485" customFormat="false" ht="15" hidden="false" customHeight="false" outlineLevel="0" collapsed="false">
      <c r="A485" s="12"/>
      <c r="B485" s="6"/>
      <c r="C485" s="13" t="str">
        <f aca="false">IF(B485="","",IFERROR(INDEX(สินค้า!$B$2:$B$101,MATCH(B485,สินค้า!$A$2:$A$101,0)),"ไม่พบรหัส"))</f>
        <v/>
      </c>
      <c r="D485" s="14" t="str">
        <f aca="false">IF(B485="","",IFERROR(INDEX(สินค้า!$D$2:$D$101,MATCH(B485,สินค้า!$A$2:$A$101,0)),""))</f>
        <v/>
      </c>
      <c r="E485" s="6"/>
      <c r="F485" s="8"/>
      <c r="G485" s="8"/>
      <c r="H485" s="8"/>
      <c r="I485" s="15"/>
      <c r="J485" s="15"/>
      <c r="K485" s="10" t="str">
        <f aca="false">IF(J485&lt;&gt;"",J485,IF(I485="","",I485*IFERROR(INDEX(สินค้า!$G$2:$G$101,MATCH(B485,สินค้า!$A$2:$A$101,0)),0)))</f>
        <v/>
      </c>
      <c r="L485" s="16" t="str">
        <f aca="false">IF(OR(F485="",F485=0,G485=""),"",G485/F485)</f>
        <v/>
      </c>
      <c r="M485" s="16" t="str">
        <f aca="false">IF(OR(G485="",G485=0,H485=""),"",H485/G485)</f>
        <v/>
      </c>
    </row>
    <row r="486" customFormat="false" ht="15" hidden="false" customHeight="false" outlineLevel="0" collapsed="false">
      <c r="A486" s="12"/>
      <c r="B486" s="6"/>
      <c r="C486" s="13" t="str">
        <f aca="false">IF(B486="","",IFERROR(INDEX(สินค้า!$B$2:$B$101,MATCH(B486,สินค้า!$A$2:$A$101,0)),"ไม่พบรหัส"))</f>
        <v/>
      </c>
      <c r="D486" s="14" t="str">
        <f aca="false">IF(B486="","",IFERROR(INDEX(สินค้า!$D$2:$D$101,MATCH(B486,สินค้า!$A$2:$A$101,0)),""))</f>
        <v/>
      </c>
      <c r="E486" s="6"/>
      <c r="F486" s="8"/>
      <c r="G486" s="8"/>
      <c r="H486" s="8"/>
      <c r="I486" s="15"/>
      <c r="J486" s="15"/>
      <c r="K486" s="10" t="str">
        <f aca="false">IF(J486&lt;&gt;"",J486,IF(I486="","",I486*IFERROR(INDEX(สินค้า!$G$2:$G$101,MATCH(B486,สินค้า!$A$2:$A$101,0)),0)))</f>
        <v/>
      </c>
      <c r="L486" s="16" t="str">
        <f aca="false">IF(OR(F486="",F486=0,G486=""),"",G486/F486)</f>
        <v/>
      </c>
      <c r="M486" s="16" t="str">
        <f aca="false">IF(OR(G486="",G486=0,H486=""),"",H486/G486)</f>
        <v/>
      </c>
    </row>
    <row r="487" customFormat="false" ht="15" hidden="false" customHeight="false" outlineLevel="0" collapsed="false">
      <c r="A487" s="12"/>
      <c r="B487" s="6"/>
      <c r="C487" s="13" t="str">
        <f aca="false">IF(B487="","",IFERROR(INDEX(สินค้า!$B$2:$B$101,MATCH(B487,สินค้า!$A$2:$A$101,0)),"ไม่พบรหัส"))</f>
        <v/>
      </c>
      <c r="D487" s="14" t="str">
        <f aca="false">IF(B487="","",IFERROR(INDEX(สินค้า!$D$2:$D$101,MATCH(B487,สินค้า!$A$2:$A$101,0)),""))</f>
        <v/>
      </c>
      <c r="E487" s="6"/>
      <c r="F487" s="8"/>
      <c r="G487" s="8"/>
      <c r="H487" s="8"/>
      <c r="I487" s="15"/>
      <c r="J487" s="15"/>
      <c r="K487" s="10" t="str">
        <f aca="false">IF(J487&lt;&gt;"",J487,IF(I487="","",I487*IFERROR(INDEX(สินค้า!$G$2:$G$101,MATCH(B487,สินค้า!$A$2:$A$101,0)),0)))</f>
        <v/>
      </c>
      <c r="L487" s="16" t="str">
        <f aca="false">IF(OR(F487="",F487=0,G487=""),"",G487/F487)</f>
        <v/>
      </c>
      <c r="M487" s="16" t="str">
        <f aca="false">IF(OR(G487="",G487=0,H487=""),"",H487/G487)</f>
        <v/>
      </c>
    </row>
    <row r="488" customFormat="false" ht="15" hidden="false" customHeight="false" outlineLevel="0" collapsed="false">
      <c r="A488" s="12"/>
      <c r="B488" s="6"/>
      <c r="C488" s="13" t="str">
        <f aca="false">IF(B488="","",IFERROR(INDEX(สินค้า!$B$2:$B$101,MATCH(B488,สินค้า!$A$2:$A$101,0)),"ไม่พบรหัส"))</f>
        <v/>
      </c>
      <c r="D488" s="14" t="str">
        <f aca="false">IF(B488="","",IFERROR(INDEX(สินค้า!$D$2:$D$101,MATCH(B488,สินค้า!$A$2:$A$101,0)),""))</f>
        <v/>
      </c>
      <c r="E488" s="6"/>
      <c r="F488" s="8"/>
      <c r="G488" s="8"/>
      <c r="H488" s="8"/>
      <c r="I488" s="15"/>
      <c r="J488" s="15"/>
      <c r="K488" s="10" t="str">
        <f aca="false">IF(J488&lt;&gt;"",J488,IF(I488="","",I488*IFERROR(INDEX(สินค้า!$G$2:$G$101,MATCH(B488,สินค้า!$A$2:$A$101,0)),0)))</f>
        <v/>
      </c>
      <c r="L488" s="16" t="str">
        <f aca="false">IF(OR(F488="",F488=0,G488=""),"",G488/F488)</f>
        <v/>
      </c>
      <c r="M488" s="16" t="str">
        <f aca="false">IF(OR(G488="",G488=0,H488=""),"",H488/G488)</f>
        <v/>
      </c>
    </row>
    <row r="489" customFormat="false" ht="15" hidden="false" customHeight="false" outlineLevel="0" collapsed="false">
      <c r="A489" s="12"/>
      <c r="B489" s="6"/>
      <c r="C489" s="13" t="str">
        <f aca="false">IF(B489="","",IFERROR(INDEX(สินค้า!$B$2:$B$101,MATCH(B489,สินค้า!$A$2:$A$101,0)),"ไม่พบรหัส"))</f>
        <v/>
      </c>
      <c r="D489" s="14" t="str">
        <f aca="false">IF(B489="","",IFERROR(INDEX(สินค้า!$D$2:$D$101,MATCH(B489,สินค้า!$A$2:$A$101,0)),""))</f>
        <v/>
      </c>
      <c r="E489" s="6"/>
      <c r="F489" s="8"/>
      <c r="G489" s="8"/>
      <c r="H489" s="8"/>
      <c r="I489" s="15"/>
      <c r="J489" s="15"/>
      <c r="K489" s="10" t="str">
        <f aca="false">IF(J489&lt;&gt;"",J489,IF(I489="","",I489*IFERROR(INDEX(สินค้า!$G$2:$G$101,MATCH(B489,สินค้า!$A$2:$A$101,0)),0)))</f>
        <v/>
      </c>
      <c r="L489" s="16" t="str">
        <f aca="false">IF(OR(F489="",F489=0,G489=""),"",G489/F489)</f>
        <v/>
      </c>
      <c r="M489" s="16" t="str">
        <f aca="false">IF(OR(G489="",G489=0,H489=""),"",H489/G489)</f>
        <v/>
      </c>
    </row>
    <row r="490" customFormat="false" ht="15" hidden="false" customHeight="false" outlineLevel="0" collapsed="false">
      <c r="A490" s="12"/>
      <c r="B490" s="6"/>
      <c r="C490" s="13" t="str">
        <f aca="false">IF(B490="","",IFERROR(INDEX(สินค้า!$B$2:$B$101,MATCH(B490,สินค้า!$A$2:$A$101,0)),"ไม่พบรหัส"))</f>
        <v/>
      </c>
      <c r="D490" s="14" t="str">
        <f aca="false">IF(B490="","",IFERROR(INDEX(สินค้า!$D$2:$D$101,MATCH(B490,สินค้า!$A$2:$A$101,0)),""))</f>
        <v/>
      </c>
      <c r="E490" s="6"/>
      <c r="F490" s="8"/>
      <c r="G490" s="8"/>
      <c r="H490" s="8"/>
      <c r="I490" s="15"/>
      <c r="J490" s="15"/>
      <c r="K490" s="10" t="str">
        <f aca="false">IF(J490&lt;&gt;"",J490,IF(I490="","",I490*IFERROR(INDEX(สินค้า!$G$2:$G$101,MATCH(B490,สินค้า!$A$2:$A$101,0)),0)))</f>
        <v/>
      </c>
      <c r="L490" s="16" t="str">
        <f aca="false">IF(OR(F490="",F490=0,G490=""),"",G490/F490)</f>
        <v/>
      </c>
      <c r="M490" s="16" t="str">
        <f aca="false">IF(OR(G490="",G490=0,H490=""),"",H490/G490)</f>
        <v/>
      </c>
    </row>
    <row r="491" customFormat="false" ht="15" hidden="false" customHeight="false" outlineLevel="0" collapsed="false">
      <c r="A491" s="12"/>
      <c r="B491" s="6"/>
      <c r="C491" s="13" t="str">
        <f aca="false">IF(B491="","",IFERROR(INDEX(สินค้า!$B$2:$B$101,MATCH(B491,สินค้า!$A$2:$A$101,0)),"ไม่พบรหัส"))</f>
        <v/>
      </c>
      <c r="D491" s="14" t="str">
        <f aca="false">IF(B491="","",IFERROR(INDEX(สินค้า!$D$2:$D$101,MATCH(B491,สินค้า!$A$2:$A$101,0)),""))</f>
        <v/>
      </c>
      <c r="E491" s="6"/>
      <c r="F491" s="8"/>
      <c r="G491" s="8"/>
      <c r="H491" s="8"/>
      <c r="I491" s="15"/>
      <c r="J491" s="15"/>
      <c r="K491" s="10" t="str">
        <f aca="false">IF(J491&lt;&gt;"",J491,IF(I491="","",I491*IFERROR(INDEX(สินค้า!$G$2:$G$101,MATCH(B491,สินค้า!$A$2:$A$101,0)),0)))</f>
        <v/>
      </c>
      <c r="L491" s="16" t="str">
        <f aca="false">IF(OR(F491="",F491=0,G491=""),"",G491/F491)</f>
        <v/>
      </c>
      <c r="M491" s="16" t="str">
        <f aca="false">IF(OR(G491="",G491=0,H491=""),"",H491/G491)</f>
        <v/>
      </c>
    </row>
    <row r="492" customFormat="false" ht="15" hidden="false" customHeight="false" outlineLevel="0" collapsed="false">
      <c r="A492" s="12"/>
      <c r="B492" s="6"/>
      <c r="C492" s="13" t="str">
        <f aca="false">IF(B492="","",IFERROR(INDEX(สินค้า!$B$2:$B$101,MATCH(B492,สินค้า!$A$2:$A$101,0)),"ไม่พบรหัส"))</f>
        <v/>
      </c>
      <c r="D492" s="14" t="str">
        <f aca="false">IF(B492="","",IFERROR(INDEX(สินค้า!$D$2:$D$101,MATCH(B492,สินค้า!$A$2:$A$101,0)),""))</f>
        <v/>
      </c>
      <c r="E492" s="6"/>
      <c r="F492" s="8"/>
      <c r="G492" s="8"/>
      <c r="H492" s="8"/>
      <c r="I492" s="15"/>
      <c r="J492" s="15"/>
      <c r="K492" s="10" t="str">
        <f aca="false">IF(J492&lt;&gt;"",J492,IF(I492="","",I492*IFERROR(INDEX(สินค้า!$G$2:$G$101,MATCH(B492,สินค้า!$A$2:$A$101,0)),0)))</f>
        <v/>
      </c>
      <c r="L492" s="16" t="str">
        <f aca="false">IF(OR(F492="",F492=0,G492=""),"",G492/F492)</f>
        <v/>
      </c>
      <c r="M492" s="16" t="str">
        <f aca="false">IF(OR(G492="",G492=0,H492=""),"",H492/G492)</f>
        <v/>
      </c>
    </row>
    <row r="493" customFormat="false" ht="15" hidden="false" customHeight="false" outlineLevel="0" collapsed="false">
      <c r="A493" s="12"/>
      <c r="B493" s="6"/>
      <c r="C493" s="13" t="str">
        <f aca="false">IF(B493="","",IFERROR(INDEX(สินค้า!$B$2:$B$101,MATCH(B493,สินค้า!$A$2:$A$101,0)),"ไม่พบรหัส"))</f>
        <v/>
      </c>
      <c r="D493" s="14" t="str">
        <f aca="false">IF(B493="","",IFERROR(INDEX(สินค้า!$D$2:$D$101,MATCH(B493,สินค้า!$A$2:$A$101,0)),""))</f>
        <v/>
      </c>
      <c r="E493" s="6"/>
      <c r="F493" s="8"/>
      <c r="G493" s="8"/>
      <c r="H493" s="8"/>
      <c r="I493" s="15"/>
      <c r="J493" s="15"/>
      <c r="K493" s="10" t="str">
        <f aca="false">IF(J493&lt;&gt;"",J493,IF(I493="","",I493*IFERROR(INDEX(สินค้า!$G$2:$G$101,MATCH(B493,สินค้า!$A$2:$A$101,0)),0)))</f>
        <v/>
      </c>
      <c r="L493" s="16" t="str">
        <f aca="false">IF(OR(F493="",F493=0,G493=""),"",G493/F493)</f>
        <v/>
      </c>
      <c r="M493" s="16" t="str">
        <f aca="false">IF(OR(G493="",G493=0,H493=""),"",H493/G493)</f>
        <v/>
      </c>
    </row>
    <row r="494" customFormat="false" ht="15" hidden="false" customHeight="false" outlineLevel="0" collapsed="false">
      <c r="A494" s="12"/>
      <c r="B494" s="6"/>
      <c r="C494" s="13" t="str">
        <f aca="false">IF(B494="","",IFERROR(INDEX(สินค้า!$B$2:$B$101,MATCH(B494,สินค้า!$A$2:$A$101,0)),"ไม่พบรหัส"))</f>
        <v/>
      </c>
      <c r="D494" s="14" t="str">
        <f aca="false">IF(B494="","",IFERROR(INDEX(สินค้า!$D$2:$D$101,MATCH(B494,สินค้า!$A$2:$A$101,0)),""))</f>
        <v/>
      </c>
      <c r="E494" s="6"/>
      <c r="F494" s="8"/>
      <c r="G494" s="8"/>
      <c r="H494" s="8"/>
      <c r="I494" s="15"/>
      <c r="J494" s="15"/>
      <c r="K494" s="10" t="str">
        <f aca="false">IF(J494&lt;&gt;"",J494,IF(I494="","",I494*IFERROR(INDEX(สินค้า!$G$2:$G$101,MATCH(B494,สินค้า!$A$2:$A$101,0)),0)))</f>
        <v/>
      </c>
      <c r="L494" s="16" t="str">
        <f aca="false">IF(OR(F494="",F494=0,G494=""),"",G494/F494)</f>
        <v/>
      </c>
      <c r="M494" s="16" t="str">
        <f aca="false">IF(OR(G494="",G494=0,H494=""),"",H494/G494)</f>
        <v/>
      </c>
    </row>
    <row r="495" customFormat="false" ht="15" hidden="false" customHeight="false" outlineLevel="0" collapsed="false">
      <c r="A495" s="12"/>
      <c r="B495" s="6"/>
      <c r="C495" s="13" t="str">
        <f aca="false">IF(B495="","",IFERROR(INDEX(สินค้า!$B$2:$B$101,MATCH(B495,สินค้า!$A$2:$A$101,0)),"ไม่พบรหัส"))</f>
        <v/>
      </c>
      <c r="D495" s="14" t="str">
        <f aca="false">IF(B495="","",IFERROR(INDEX(สินค้า!$D$2:$D$101,MATCH(B495,สินค้า!$A$2:$A$101,0)),""))</f>
        <v/>
      </c>
      <c r="E495" s="6"/>
      <c r="F495" s="8"/>
      <c r="G495" s="8"/>
      <c r="H495" s="8"/>
      <c r="I495" s="15"/>
      <c r="J495" s="15"/>
      <c r="K495" s="10" t="str">
        <f aca="false">IF(J495&lt;&gt;"",J495,IF(I495="","",I495*IFERROR(INDEX(สินค้า!$G$2:$G$101,MATCH(B495,สินค้า!$A$2:$A$101,0)),0)))</f>
        <v/>
      </c>
      <c r="L495" s="16" t="str">
        <f aca="false">IF(OR(F495="",F495=0,G495=""),"",G495/F495)</f>
        <v/>
      </c>
      <c r="M495" s="16" t="str">
        <f aca="false">IF(OR(G495="",G495=0,H495=""),"",H495/G495)</f>
        <v/>
      </c>
    </row>
    <row r="496" customFormat="false" ht="15" hidden="false" customHeight="false" outlineLevel="0" collapsed="false">
      <c r="A496" s="12"/>
      <c r="B496" s="6"/>
      <c r="C496" s="13" t="str">
        <f aca="false">IF(B496="","",IFERROR(INDEX(สินค้า!$B$2:$B$101,MATCH(B496,สินค้า!$A$2:$A$101,0)),"ไม่พบรหัส"))</f>
        <v/>
      </c>
      <c r="D496" s="14" t="str">
        <f aca="false">IF(B496="","",IFERROR(INDEX(สินค้า!$D$2:$D$101,MATCH(B496,สินค้า!$A$2:$A$101,0)),""))</f>
        <v/>
      </c>
      <c r="E496" s="6"/>
      <c r="F496" s="8"/>
      <c r="G496" s="8"/>
      <c r="H496" s="8"/>
      <c r="I496" s="15"/>
      <c r="J496" s="15"/>
      <c r="K496" s="10" t="str">
        <f aca="false">IF(J496&lt;&gt;"",J496,IF(I496="","",I496*IFERROR(INDEX(สินค้า!$G$2:$G$101,MATCH(B496,สินค้า!$A$2:$A$101,0)),0)))</f>
        <v/>
      </c>
      <c r="L496" s="16" t="str">
        <f aca="false">IF(OR(F496="",F496=0,G496=""),"",G496/F496)</f>
        <v/>
      </c>
      <c r="M496" s="16" t="str">
        <f aca="false">IF(OR(G496="",G496=0,H496=""),"",H496/G496)</f>
        <v/>
      </c>
    </row>
    <row r="497" customFormat="false" ht="15" hidden="false" customHeight="false" outlineLevel="0" collapsed="false">
      <c r="A497" s="12"/>
      <c r="B497" s="6"/>
      <c r="C497" s="13" t="str">
        <f aca="false">IF(B497="","",IFERROR(INDEX(สินค้า!$B$2:$B$101,MATCH(B497,สินค้า!$A$2:$A$101,0)),"ไม่พบรหัส"))</f>
        <v/>
      </c>
      <c r="D497" s="14" t="str">
        <f aca="false">IF(B497="","",IFERROR(INDEX(สินค้า!$D$2:$D$101,MATCH(B497,สินค้า!$A$2:$A$101,0)),""))</f>
        <v/>
      </c>
      <c r="E497" s="6"/>
      <c r="F497" s="8"/>
      <c r="G497" s="8"/>
      <c r="H497" s="8"/>
      <c r="I497" s="15"/>
      <c r="J497" s="15"/>
      <c r="K497" s="10" t="str">
        <f aca="false">IF(J497&lt;&gt;"",J497,IF(I497="","",I497*IFERROR(INDEX(สินค้า!$G$2:$G$101,MATCH(B497,สินค้า!$A$2:$A$101,0)),0)))</f>
        <v/>
      </c>
      <c r="L497" s="16" t="str">
        <f aca="false">IF(OR(F497="",F497=0,G497=""),"",G497/F497)</f>
        <v/>
      </c>
      <c r="M497" s="16" t="str">
        <f aca="false">IF(OR(G497="",G497=0,H497=""),"",H497/G497)</f>
        <v/>
      </c>
    </row>
    <row r="498" customFormat="false" ht="15" hidden="false" customHeight="false" outlineLevel="0" collapsed="false">
      <c r="A498" s="12"/>
      <c r="B498" s="6"/>
      <c r="C498" s="13" t="str">
        <f aca="false">IF(B498="","",IFERROR(INDEX(สินค้า!$B$2:$B$101,MATCH(B498,สินค้า!$A$2:$A$101,0)),"ไม่พบรหัส"))</f>
        <v/>
      </c>
      <c r="D498" s="14" t="str">
        <f aca="false">IF(B498="","",IFERROR(INDEX(สินค้า!$D$2:$D$101,MATCH(B498,สินค้า!$A$2:$A$101,0)),""))</f>
        <v/>
      </c>
      <c r="E498" s="6"/>
      <c r="F498" s="8"/>
      <c r="G498" s="8"/>
      <c r="H498" s="8"/>
      <c r="I498" s="15"/>
      <c r="J498" s="15"/>
      <c r="K498" s="10" t="str">
        <f aca="false">IF(J498&lt;&gt;"",J498,IF(I498="","",I498*IFERROR(INDEX(สินค้า!$G$2:$G$101,MATCH(B498,สินค้า!$A$2:$A$101,0)),0)))</f>
        <v/>
      </c>
      <c r="L498" s="16" t="str">
        <f aca="false">IF(OR(F498="",F498=0,G498=""),"",G498/F498)</f>
        <v/>
      </c>
      <c r="M498" s="16" t="str">
        <f aca="false">IF(OR(G498="",G498=0,H498=""),"",H498/G498)</f>
        <v/>
      </c>
    </row>
    <row r="499" customFormat="false" ht="15" hidden="false" customHeight="false" outlineLevel="0" collapsed="false">
      <c r="A499" s="12"/>
      <c r="B499" s="6"/>
      <c r="C499" s="13" t="str">
        <f aca="false">IF(B499="","",IFERROR(INDEX(สินค้า!$B$2:$B$101,MATCH(B499,สินค้า!$A$2:$A$101,0)),"ไม่พบรหัส"))</f>
        <v/>
      </c>
      <c r="D499" s="14" t="str">
        <f aca="false">IF(B499="","",IFERROR(INDEX(สินค้า!$D$2:$D$101,MATCH(B499,สินค้า!$A$2:$A$101,0)),""))</f>
        <v/>
      </c>
      <c r="E499" s="6"/>
      <c r="F499" s="8"/>
      <c r="G499" s="8"/>
      <c r="H499" s="8"/>
      <c r="I499" s="15"/>
      <c r="J499" s="15"/>
      <c r="K499" s="10" t="str">
        <f aca="false">IF(J499&lt;&gt;"",J499,IF(I499="","",I499*IFERROR(INDEX(สินค้า!$G$2:$G$101,MATCH(B499,สินค้า!$A$2:$A$101,0)),0)))</f>
        <v/>
      </c>
      <c r="L499" s="16" t="str">
        <f aca="false">IF(OR(F499="",F499=0,G499=""),"",G499/F499)</f>
        <v/>
      </c>
      <c r="M499" s="16" t="str">
        <f aca="false">IF(OR(G499="",G499=0,H499=""),"",H499/G499)</f>
        <v/>
      </c>
    </row>
    <row r="500" customFormat="false" ht="15" hidden="false" customHeight="false" outlineLevel="0" collapsed="false">
      <c r="A500" s="12"/>
      <c r="B500" s="6"/>
      <c r="C500" s="13" t="str">
        <f aca="false">IF(B500="","",IFERROR(INDEX(สินค้า!$B$2:$B$101,MATCH(B500,สินค้า!$A$2:$A$101,0)),"ไม่พบรหัส"))</f>
        <v/>
      </c>
      <c r="D500" s="14" t="str">
        <f aca="false">IF(B500="","",IFERROR(INDEX(สินค้า!$D$2:$D$101,MATCH(B500,สินค้า!$A$2:$A$101,0)),""))</f>
        <v/>
      </c>
      <c r="E500" s="6"/>
      <c r="F500" s="8"/>
      <c r="G500" s="8"/>
      <c r="H500" s="8"/>
      <c r="I500" s="15"/>
      <c r="J500" s="15"/>
      <c r="K500" s="10" t="str">
        <f aca="false">IF(J500&lt;&gt;"",J500,IF(I500="","",I500*IFERROR(INDEX(สินค้า!$G$2:$G$101,MATCH(B500,สินค้า!$A$2:$A$101,0)),0)))</f>
        <v/>
      </c>
      <c r="L500" s="16" t="str">
        <f aca="false">IF(OR(F500="",F500=0,G500=""),"",G500/F500)</f>
        <v/>
      </c>
      <c r="M500" s="16" t="str">
        <f aca="false">IF(OR(G500="",G500=0,H500=""),"",H500/G500)</f>
        <v/>
      </c>
    </row>
    <row r="501" customFormat="false" ht="15" hidden="false" customHeight="false" outlineLevel="0" collapsed="false">
      <c r="A501" s="12"/>
      <c r="B501" s="6"/>
      <c r="C501" s="13" t="str">
        <f aca="false">IF(B501="","",IFERROR(INDEX(สินค้า!$B$2:$B$101,MATCH(B501,สินค้า!$A$2:$A$101,0)),"ไม่พบรหัส"))</f>
        <v/>
      </c>
      <c r="D501" s="14" t="str">
        <f aca="false">IF(B501="","",IFERROR(INDEX(สินค้า!$D$2:$D$101,MATCH(B501,สินค้า!$A$2:$A$101,0)),""))</f>
        <v/>
      </c>
      <c r="E501" s="6"/>
      <c r="F501" s="8"/>
      <c r="G501" s="8"/>
      <c r="H501" s="8"/>
      <c r="I501" s="15"/>
      <c r="J501" s="15"/>
      <c r="K501" s="10" t="str">
        <f aca="false">IF(J501&lt;&gt;"",J501,IF(I501="","",I501*IFERROR(INDEX(สินค้า!$G$2:$G$101,MATCH(B501,สินค้า!$A$2:$A$101,0)),0)))</f>
        <v/>
      </c>
      <c r="L501" s="16" t="str">
        <f aca="false">IF(OR(F501="",F501=0,G501=""),"",G501/F501)</f>
        <v/>
      </c>
      <c r="M501" s="16" t="str">
        <f aca="false">IF(OR(G501="",G501=0,H501=""),"",H501/G501)</f>
        <v/>
      </c>
    </row>
    <row r="502" customFormat="false" ht="15" hidden="false" customHeight="false" outlineLevel="0" collapsed="false">
      <c r="A502" s="12"/>
      <c r="B502" s="6"/>
      <c r="C502" s="13" t="str">
        <f aca="false">IF(B502="","",IFERROR(INDEX(สินค้า!$B$2:$B$101,MATCH(B502,สินค้า!$A$2:$A$101,0)),"ไม่พบรหัส"))</f>
        <v/>
      </c>
      <c r="D502" s="14" t="str">
        <f aca="false">IF(B502="","",IFERROR(INDEX(สินค้า!$D$2:$D$101,MATCH(B502,สินค้า!$A$2:$A$101,0)),""))</f>
        <v/>
      </c>
      <c r="E502" s="6"/>
      <c r="F502" s="8"/>
      <c r="G502" s="8"/>
      <c r="H502" s="8"/>
      <c r="I502" s="15"/>
      <c r="J502" s="15"/>
      <c r="K502" s="10" t="str">
        <f aca="false">IF(J502&lt;&gt;"",J502,IF(I502="","",I502*IFERROR(INDEX(สินค้า!$G$2:$G$101,MATCH(B502,สินค้า!$A$2:$A$101,0)),0)))</f>
        <v/>
      </c>
      <c r="L502" s="16" t="str">
        <f aca="false">IF(OR(F502="",F502=0,G502=""),"",G502/F502)</f>
        <v/>
      </c>
      <c r="M502" s="16" t="str">
        <f aca="false">IF(OR(G502="",G502=0,H502=""),"",H502/G502)</f>
        <v/>
      </c>
    </row>
    <row r="503" customFormat="false" ht="15" hidden="false" customHeight="false" outlineLevel="0" collapsed="false">
      <c r="A503" s="12"/>
      <c r="B503" s="6"/>
      <c r="C503" s="13" t="str">
        <f aca="false">IF(B503="","",IFERROR(INDEX(สินค้า!$B$2:$B$101,MATCH(B503,สินค้า!$A$2:$A$101,0)),"ไม่พบรหัส"))</f>
        <v/>
      </c>
      <c r="D503" s="14" t="str">
        <f aca="false">IF(B503="","",IFERROR(INDEX(สินค้า!$D$2:$D$101,MATCH(B503,สินค้า!$A$2:$A$101,0)),""))</f>
        <v/>
      </c>
      <c r="E503" s="6"/>
      <c r="F503" s="8"/>
      <c r="G503" s="8"/>
      <c r="H503" s="8"/>
      <c r="I503" s="15"/>
      <c r="J503" s="15"/>
      <c r="K503" s="10" t="str">
        <f aca="false">IF(J503&lt;&gt;"",J503,IF(I503="","",I503*IFERROR(INDEX(สินค้า!$G$2:$G$101,MATCH(B503,สินค้า!$A$2:$A$101,0)),0)))</f>
        <v/>
      </c>
      <c r="L503" s="16" t="str">
        <f aca="false">IF(OR(F503="",F503=0,G503=""),"",G503/F503)</f>
        <v/>
      </c>
      <c r="M503" s="16" t="str">
        <f aca="false">IF(OR(G503="",G503=0,H503=""),"",H503/G503)</f>
        <v/>
      </c>
    </row>
    <row r="504" customFormat="false" ht="15" hidden="false" customHeight="false" outlineLevel="0" collapsed="false">
      <c r="A504" s="12"/>
      <c r="B504" s="6"/>
      <c r="C504" s="13" t="str">
        <f aca="false">IF(B504="","",IFERROR(INDEX(สินค้า!$B$2:$B$101,MATCH(B504,สินค้า!$A$2:$A$101,0)),"ไม่พบรหัส"))</f>
        <v/>
      </c>
      <c r="D504" s="14" t="str">
        <f aca="false">IF(B504="","",IFERROR(INDEX(สินค้า!$D$2:$D$101,MATCH(B504,สินค้า!$A$2:$A$101,0)),""))</f>
        <v/>
      </c>
      <c r="E504" s="6"/>
      <c r="F504" s="8"/>
      <c r="G504" s="8"/>
      <c r="H504" s="8"/>
      <c r="I504" s="15"/>
      <c r="J504" s="15"/>
      <c r="K504" s="10" t="str">
        <f aca="false">IF(J504&lt;&gt;"",J504,IF(I504="","",I504*IFERROR(INDEX(สินค้า!$G$2:$G$101,MATCH(B504,สินค้า!$A$2:$A$101,0)),0)))</f>
        <v/>
      </c>
      <c r="L504" s="16" t="str">
        <f aca="false">IF(OR(F504="",F504=0,G504=""),"",G504/F504)</f>
        <v/>
      </c>
      <c r="M504" s="16" t="str">
        <f aca="false">IF(OR(G504="",G504=0,H504=""),"",H504/G504)</f>
        <v/>
      </c>
    </row>
    <row r="505" customFormat="false" ht="15" hidden="false" customHeight="false" outlineLevel="0" collapsed="false">
      <c r="A505" s="12"/>
      <c r="B505" s="6"/>
      <c r="C505" s="13" t="str">
        <f aca="false">IF(B505="","",IFERROR(INDEX(สินค้า!$B$2:$B$101,MATCH(B505,สินค้า!$A$2:$A$101,0)),"ไม่พบรหัส"))</f>
        <v/>
      </c>
      <c r="D505" s="14" t="str">
        <f aca="false">IF(B505="","",IFERROR(INDEX(สินค้า!$D$2:$D$101,MATCH(B505,สินค้า!$A$2:$A$101,0)),""))</f>
        <v/>
      </c>
      <c r="E505" s="6"/>
      <c r="F505" s="8"/>
      <c r="G505" s="8"/>
      <c r="H505" s="8"/>
      <c r="I505" s="15"/>
      <c r="J505" s="15"/>
      <c r="K505" s="10" t="str">
        <f aca="false">IF(J505&lt;&gt;"",J505,IF(I505="","",I505*IFERROR(INDEX(สินค้า!$G$2:$G$101,MATCH(B505,สินค้า!$A$2:$A$101,0)),0)))</f>
        <v/>
      </c>
      <c r="L505" s="16" t="str">
        <f aca="false">IF(OR(F505="",F505=0,G505=""),"",G505/F505)</f>
        <v/>
      </c>
      <c r="M505" s="16" t="str">
        <f aca="false">IF(OR(G505="",G505=0,H505=""),"",H505/G505)</f>
        <v/>
      </c>
    </row>
    <row r="506" customFormat="false" ht="15" hidden="false" customHeight="false" outlineLevel="0" collapsed="false">
      <c r="A506" s="12"/>
      <c r="B506" s="6"/>
      <c r="C506" s="13" t="str">
        <f aca="false">IF(B506="","",IFERROR(INDEX(สินค้า!$B$2:$B$101,MATCH(B506,สินค้า!$A$2:$A$101,0)),"ไม่พบรหัส"))</f>
        <v/>
      </c>
      <c r="D506" s="14" t="str">
        <f aca="false">IF(B506="","",IFERROR(INDEX(สินค้า!$D$2:$D$101,MATCH(B506,สินค้า!$A$2:$A$101,0)),""))</f>
        <v/>
      </c>
      <c r="E506" s="6"/>
      <c r="F506" s="8"/>
      <c r="G506" s="8"/>
      <c r="H506" s="8"/>
      <c r="I506" s="15"/>
      <c r="J506" s="15"/>
      <c r="K506" s="10" t="str">
        <f aca="false">IF(J506&lt;&gt;"",J506,IF(I506="","",I506*IFERROR(INDEX(สินค้า!$G$2:$G$101,MATCH(B506,สินค้า!$A$2:$A$101,0)),0)))</f>
        <v/>
      </c>
      <c r="L506" s="16" t="str">
        <f aca="false">IF(OR(F506="",F506=0,G506=""),"",G506/F506)</f>
        <v/>
      </c>
      <c r="M506" s="16" t="str">
        <f aca="false">IF(OR(G506="",G506=0,H506=""),"",H506/G506)</f>
        <v/>
      </c>
    </row>
    <row r="507" customFormat="false" ht="15" hidden="false" customHeight="false" outlineLevel="0" collapsed="false">
      <c r="A507" s="12"/>
      <c r="B507" s="6"/>
      <c r="C507" s="13" t="str">
        <f aca="false">IF(B507="","",IFERROR(INDEX(สินค้า!$B$2:$B$101,MATCH(B507,สินค้า!$A$2:$A$101,0)),"ไม่พบรหัส"))</f>
        <v/>
      </c>
      <c r="D507" s="14" t="str">
        <f aca="false">IF(B507="","",IFERROR(INDEX(สินค้า!$D$2:$D$101,MATCH(B507,สินค้า!$A$2:$A$101,0)),""))</f>
        <v/>
      </c>
      <c r="E507" s="6"/>
      <c r="F507" s="8"/>
      <c r="G507" s="8"/>
      <c r="H507" s="8"/>
      <c r="I507" s="15"/>
      <c r="J507" s="15"/>
      <c r="K507" s="10" t="str">
        <f aca="false">IF(J507&lt;&gt;"",J507,IF(I507="","",I507*IFERROR(INDEX(สินค้า!$G$2:$G$101,MATCH(B507,สินค้า!$A$2:$A$101,0)),0)))</f>
        <v/>
      </c>
      <c r="L507" s="16" t="str">
        <f aca="false">IF(OR(F507="",F507=0,G507=""),"",G507/F507)</f>
        <v/>
      </c>
      <c r="M507" s="16" t="str">
        <f aca="false">IF(OR(G507="",G507=0,H507=""),"",H507/G507)</f>
        <v/>
      </c>
    </row>
    <row r="508" customFormat="false" ht="15" hidden="false" customHeight="false" outlineLevel="0" collapsed="false">
      <c r="A508" s="12"/>
      <c r="B508" s="6"/>
      <c r="C508" s="13" t="str">
        <f aca="false">IF(B508="","",IFERROR(INDEX(สินค้า!$B$2:$B$101,MATCH(B508,สินค้า!$A$2:$A$101,0)),"ไม่พบรหัส"))</f>
        <v/>
      </c>
      <c r="D508" s="14" t="str">
        <f aca="false">IF(B508="","",IFERROR(INDEX(สินค้า!$D$2:$D$101,MATCH(B508,สินค้า!$A$2:$A$101,0)),""))</f>
        <v/>
      </c>
      <c r="E508" s="6"/>
      <c r="F508" s="8"/>
      <c r="G508" s="8"/>
      <c r="H508" s="8"/>
      <c r="I508" s="15"/>
      <c r="J508" s="15"/>
      <c r="K508" s="10" t="str">
        <f aca="false">IF(J508&lt;&gt;"",J508,IF(I508="","",I508*IFERROR(INDEX(สินค้า!$G$2:$G$101,MATCH(B508,สินค้า!$A$2:$A$101,0)),0)))</f>
        <v/>
      </c>
      <c r="L508" s="16" t="str">
        <f aca="false">IF(OR(F508="",F508=0,G508=""),"",G508/F508)</f>
        <v/>
      </c>
      <c r="M508" s="16" t="str">
        <f aca="false">IF(OR(G508="",G508=0,H508=""),"",H508/G508)</f>
        <v/>
      </c>
    </row>
    <row r="509" customFormat="false" ht="15" hidden="false" customHeight="false" outlineLevel="0" collapsed="false">
      <c r="A509" s="12"/>
      <c r="B509" s="6"/>
      <c r="C509" s="13" t="str">
        <f aca="false">IF(B509="","",IFERROR(INDEX(สินค้า!$B$2:$B$101,MATCH(B509,สินค้า!$A$2:$A$101,0)),"ไม่พบรหัส"))</f>
        <v/>
      </c>
      <c r="D509" s="14" t="str">
        <f aca="false">IF(B509="","",IFERROR(INDEX(สินค้า!$D$2:$D$101,MATCH(B509,สินค้า!$A$2:$A$101,0)),""))</f>
        <v/>
      </c>
      <c r="E509" s="6"/>
      <c r="F509" s="8"/>
      <c r="G509" s="8"/>
      <c r="H509" s="8"/>
      <c r="I509" s="15"/>
      <c r="J509" s="15"/>
      <c r="K509" s="10" t="str">
        <f aca="false">IF(J509&lt;&gt;"",J509,IF(I509="","",I509*IFERROR(INDEX(สินค้า!$G$2:$G$101,MATCH(B509,สินค้า!$A$2:$A$101,0)),0)))</f>
        <v/>
      </c>
      <c r="L509" s="16" t="str">
        <f aca="false">IF(OR(F509="",F509=0,G509=""),"",G509/F509)</f>
        <v/>
      </c>
      <c r="M509" s="16" t="str">
        <f aca="false">IF(OR(G509="",G509=0,H509=""),"",H509/G509)</f>
        <v/>
      </c>
    </row>
    <row r="510" customFormat="false" ht="15" hidden="false" customHeight="false" outlineLevel="0" collapsed="false">
      <c r="A510" s="12"/>
      <c r="B510" s="6"/>
      <c r="C510" s="13" t="str">
        <f aca="false">IF(B510="","",IFERROR(INDEX(สินค้า!$B$2:$B$101,MATCH(B510,สินค้า!$A$2:$A$101,0)),"ไม่พบรหัส"))</f>
        <v/>
      </c>
      <c r="D510" s="14" t="str">
        <f aca="false">IF(B510="","",IFERROR(INDEX(สินค้า!$D$2:$D$101,MATCH(B510,สินค้า!$A$2:$A$101,0)),""))</f>
        <v/>
      </c>
      <c r="E510" s="6"/>
      <c r="F510" s="8"/>
      <c r="G510" s="8"/>
      <c r="H510" s="8"/>
      <c r="I510" s="15"/>
      <c r="J510" s="15"/>
      <c r="K510" s="10" t="str">
        <f aca="false">IF(J510&lt;&gt;"",J510,IF(I510="","",I510*IFERROR(INDEX(สินค้า!$G$2:$G$101,MATCH(B510,สินค้า!$A$2:$A$101,0)),0)))</f>
        <v/>
      </c>
      <c r="L510" s="16" t="str">
        <f aca="false">IF(OR(F510="",F510=0,G510=""),"",G510/F510)</f>
        <v/>
      </c>
      <c r="M510" s="16" t="str">
        <f aca="false">IF(OR(G510="",G510=0,H510=""),"",H510/G510)</f>
        <v/>
      </c>
    </row>
    <row r="511" customFormat="false" ht="15" hidden="false" customHeight="false" outlineLevel="0" collapsed="false">
      <c r="A511" s="12"/>
      <c r="B511" s="6"/>
      <c r="C511" s="13" t="str">
        <f aca="false">IF(B511="","",IFERROR(INDEX(สินค้า!$B$2:$B$101,MATCH(B511,สินค้า!$A$2:$A$101,0)),"ไม่พบรหัส"))</f>
        <v/>
      </c>
      <c r="D511" s="14" t="str">
        <f aca="false">IF(B511="","",IFERROR(INDEX(สินค้า!$D$2:$D$101,MATCH(B511,สินค้า!$A$2:$A$101,0)),""))</f>
        <v/>
      </c>
      <c r="E511" s="6"/>
      <c r="F511" s="8"/>
      <c r="G511" s="8"/>
      <c r="H511" s="8"/>
      <c r="I511" s="15"/>
      <c r="J511" s="15"/>
      <c r="K511" s="10" t="str">
        <f aca="false">IF(J511&lt;&gt;"",J511,IF(I511="","",I511*IFERROR(INDEX(สินค้า!$G$2:$G$101,MATCH(B511,สินค้า!$A$2:$A$101,0)),0)))</f>
        <v/>
      </c>
      <c r="L511" s="16" t="str">
        <f aca="false">IF(OR(F511="",F511=0,G511=""),"",G511/F511)</f>
        <v/>
      </c>
      <c r="M511" s="16" t="str">
        <f aca="false">IF(OR(G511="",G511=0,H511=""),"",H511/G511)</f>
        <v/>
      </c>
    </row>
    <row r="512" customFormat="false" ht="15" hidden="false" customHeight="false" outlineLevel="0" collapsed="false">
      <c r="A512" s="12"/>
      <c r="B512" s="6"/>
      <c r="C512" s="13" t="str">
        <f aca="false">IF(B512="","",IFERROR(INDEX(สินค้า!$B$2:$B$101,MATCH(B512,สินค้า!$A$2:$A$101,0)),"ไม่พบรหัส"))</f>
        <v/>
      </c>
      <c r="D512" s="14" t="str">
        <f aca="false">IF(B512="","",IFERROR(INDEX(สินค้า!$D$2:$D$101,MATCH(B512,สินค้า!$A$2:$A$101,0)),""))</f>
        <v/>
      </c>
      <c r="E512" s="6"/>
      <c r="F512" s="8"/>
      <c r="G512" s="8"/>
      <c r="H512" s="8"/>
      <c r="I512" s="15"/>
      <c r="J512" s="15"/>
      <c r="K512" s="10" t="str">
        <f aca="false">IF(J512&lt;&gt;"",J512,IF(I512="","",I512*IFERROR(INDEX(สินค้า!$G$2:$G$101,MATCH(B512,สินค้า!$A$2:$A$101,0)),0)))</f>
        <v/>
      </c>
      <c r="L512" s="16" t="str">
        <f aca="false">IF(OR(F512="",F512=0,G512=""),"",G512/F512)</f>
        <v/>
      </c>
      <c r="M512" s="16" t="str">
        <f aca="false">IF(OR(G512="",G512=0,H512=""),"",H512/G512)</f>
        <v/>
      </c>
    </row>
    <row r="513" customFormat="false" ht="15" hidden="false" customHeight="false" outlineLevel="0" collapsed="false">
      <c r="A513" s="12"/>
      <c r="B513" s="6"/>
      <c r="C513" s="13" t="str">
        <f aca="false">IF(B513="","",IFERROR(INDEX(สินค้า!$B$2:$B$101,MATCH(B513,สินค้า!$A$2:$A$101,0)),"ไม่พบรหัส"))</f>
        <v/>
      </c>
      <c r="D513" s="14" t="str">
        <f aca="false">IF(B513="","",IFERROR(INDEX(สินค้า!$D$2:$D$101,MATCH(B513,สินค้า!$A$2:$A$101,0)),""))</f>
        <v/>
      </c>
      <c r="E513" s="6"/>
      <c r="F513" s="8"/>
      <c r="G513" s="8"/>
      <c r="H513" s="8"/>
      <c r="I513" s="15"/>
      <c r="J513" s="15"/>
      <c r="K513" s="10" t="str">
        <f aca="false">IF(J513&lt;&gt;"",J513,IF(I513="","",I513*IFERROR(INDEX(สินค้า!$G$2:$G$101,MATCH(B513,สินค้า!$A$2:$A$101,0)),0)))</f>
        <v/>
      </c>
      <c r="L513" s="16" t="str">
        <f aca="false">IF(OR(F513="",F513=0,G513=""),"",G513/F513)</f>
        <v/>
      </c>
      <c r="M513" s="16" t="str">
        <f aca="false">IF(OR(G513="",G513=0,H513=""),"",H513/G513)</f>
        <v/>
      </c>
    </row>
    <row r="514" customFormat="false" ht="15" hidden="false" customHeight="false" outlineLevel="0" collapsed="false">
      <c r="A514" s="12"/>
      <c r="B514" s="6"/>
      <c r="C514" s="13" t="str">
        <f aca="false">IF(B514="","",IFERROR(INDEX(สินค้า!$B$2:$B$101,MATCH(B514,สินค้า!$A$2:$A$101,0)),"ไม่พบรหัส"))</f>
        <v/>
      </c>
      <c r="D514" s="14" t="str">
        <f aca="false">IF(B514="","",IFERROR(INDEX(สินค้า!$D$2:$D$101,MATCH(B514,สินค้า!$A$2:$A$101,0)),""))</f>
        <v/>
      </c>
      <c r="E514" s="6"/>
      <c r="F514" s="8"/>
      <c r="G514" s="8"/>
      <c r="H514" s="8"/>
      <c r="I514" s="15"/>
      <c r="J514" s="15"/>
      <c r="K514" s="10" t="str">
        <f aca="false">IF(J514&lt;&gt;"",J514,IF(I514="","",I514*IFERROR(INDEX(สินค้า!$G$2:$G$101,MATCH(B514,สินค้า!$A$2:$A$101,0)),0)))</f>
        <v/>
      </c>
      <c r="L514" s="16" t="str">
        <f aca="false">IF(OR(F514="",F514=0,G514=""),"",G514/F514)</f>
        <v/>
      </c>
      <c r="M514" s="16" t="str">
        <f aca="false">IF(OR(G514="",G514=0,H514=""),"",H514/G514)</f>
        <v/>
      </c>
    </row>
    <row r="515" customFormat="false" ht="15" hidden="false" customHeight="false" outlineLevel="0" collapsed="false">
      <c r="A515" s="12"/>
      <c r="B515" s="6"/>
      <c r="C515" s="13" t="str">
        <f aca="false">IF(B515="","",IFERROR(INDEX(สินค้า!$B$2:$B$101,MATCH(B515,สินค้า!$A$2:$A$101,0)),"ไม่พบรหัส"))</f>
        <v/>
      </c>
      <c r="D515" s="14" t="str">
        <f aca="false">IF(B515="","",IFERROR(INDEX(สินค้า!$D$2:$D$101,MATCH(B515,สินค้า!$A$2:$A$101,0)),""))</f>
        <v/>
      </c>
      <c r="E515" s="6"/>
      <c r="F515" s="8"/>
      <c r="G515" s="8"/>
      <c r="H515" s="8"/>
      <c r="I515" s="15"/>
      <c r="J515" s="15"/>
      <c r="K515" s="10" t="str">
        <f aca="false">IF(J515&lt;&gt;"",J515,IF(I515="","",I515*IFERROR(INDEX(สินค้า!$G$2:$G$101,MATCH(B515,สินค้า!$A$2:$A$101,0)),0)))</f>
        <v/>
      </c>
      <c r="L515" s="16" t="str">
        <f aca="false">IF(OR(F515="",F515=0,G515=""),"",G515/F515)</f>
        <v/>
      </c>
      <c r="M515" s="16" t="str">
        <f aca="false">IF(OR(G515="",G515=0,H515=""),"",H515/G515)</f>
        <v/>
      </c>
    </row>
    <row r="516" customFormat="false" ht="15" hidden="false" customHeight="false" outlineLevel="0" collapsed="false">
      <c r="A516" s="12"/>
      <c r="B516" s="6"/>
      <c r="C516" s="13" t="str">
        <f aca="false">IF(B516="","",IFERROR(INDEX(สินค้า!$B$2:$B$101,MATCH(B516,สินค้า!$A$2:$A$101,0)),"ไม่พบรหัส"))</f>
        <v/>
      </c>
      <c r="D516" s="14" t="str">
        <f aca="false">IF(B516="","",IFERROR(INDEX(สินค้า!$D$2:$D$101,MATCH(B516,สินค้า!$A$2:$A$101,0)),""))</f>
        <v/>
      </c>
      <c r="E516" s="6"/>
      <c r="F516" s="8"/>
      <c r="G516" s="8"/>
      <c r="H516" s="8"/>
      <c r="I516" s="15"/>
      <c r="J516" s="15"/>
      <c r="K516" s="10" t="str">
        <f aca="false">IF(J516&lt;&gt;"",J516,IF(I516="","",I516*IFERROR(INDEX(สินค้า!$G$2:$G$101,MATCH(B516,สินค้า!$A$2:$A$101,0)),0)))</f>
        <v/>
      </c>
      <c r="L516" s="16" t="str">
        <f aca="false">IF(OR(F516="",F516=0,G516=""),"",G516/F516)</f>
        <v/>
      </c>
      <c r="M516" s="16" t="str">
        <f aca="false">IF(OR(G516="",G516=0,H516=""),"",H516/G516)</f>
        <v/>
      </c>
    </row>
    <row r="517" customFormat="false" ht="15" hidden="false" customHeight="false" outlineLevel="0" collapsed="false">
      <c r="A517" s="12"/>
      <c r="B517" s="6"/>
      <c r="C517" s="13" t="str">
        <f aca="false">IF(B517="","",IFERROR(INDEX(สินค้า!$B$2:$B$101,MATCH(B517,สินค้า!$A$2:$A$101,0)),"ไม่พบรหัส"))</f>
        <v/>
      </c>
      <c r="D517" s="14" t="str">
        <f aca="false">IF(B517="","",IFERROR(INDEX(สินค้า!$D$2:$D$101,MATCH(B517,สินค้า!$A$2:$A$101,0)),""))</f>
        <v/>
      </c>
      <c r="E517" s="6"/>
      <c r="F517" s="8"/>
      <c r="G517" s="8"/>
      <c r="H517" s="8"/>
      <c r="I517" s="15"/>
      <c r="J517" s="15"/>
      <c r="K517" s="10" t="str">
        <f aca="false">IF(J517&lt;&gt;"",J517,IF(I517="","",I517*IFERROR(INDEX(สินค้า!$G$2:$G$101,MATCH(B517,สินค้า!$A$2:$A$101,0)),0)))</f>
        <v/>
      </c>
      <c r="L517" s="16" t="str">
        <f aca="false">IF(OR(F517="",F517=0,G517=""),"",G517/F517)</f>
        <v/>
      </c>
      <c r="M517" s="16" t="str">
        <f aca="false">IF(OR(G517="",G517=0,H517=""),"",H517/G517)</f>
        <v/>
      </c>
    </row>
    <row r="518" customFormat="false" ht="15" hidden="false" customHeight="false" outlineLevel="0" collapsed="false">
      <c r="A518" s="12"/>
      <c r="B518" s="6"/>
      <c r="C518" s="13" t="str">
        <f aca="false">IF(B518="","",IFERROR(INDEX(สินค้า!$B$2:$B$101,MATCH(B518,สินค้า!$A$2:$A$101,0)),"ไม่พบรหัส"))</f>
        <v/>
      </c>
      <c r="D518" s="14" t="str">
        <f aca="false">IF(B518="","",IFERROR(INDEX(สินค้า!$D$2:$D$101,MATCH(B518,สินค้า!$A$2:$A$101,0)),""))</f>
        <v/>
      </c>
      <c r="E518" s="6"/>
      <c r="F518" s="8"/>
      <c r="G518" s="8"/>
      <c r="H518" s="8"/>
      <c r="I518" s="15"/>
      <c r="J518" s="15"/>
      <c r="K518" s="10" t="str">
        <f aca="false">IF(J518&lt;&gt;"",J518,IF(I518="","",I518*IFERROR(INDEX(สินค้า!$G$2:$G$101,MATCH(B518,สินค้า!$A$2:$A$101,0)),0)))</f>
        <v/>
      </c>
      <c r="L518" s="16" t="str">
        <f aca="false">IF(OR(F518="",F518=0,G518=""),"",G518/F518)</f>
        <v/>
      </c>
      <c r="M518" s="16" t="str">
        <f aca="false">IF(OR(G518="",G518=0,H518=""),"",H518/G518)</f>
        <v/>
      </c>
    </row>
    <row r="519" customFormat="false" ht="15" hidden="false" customHeight="false" outlineLevel="0" collapsed="false">
      <c r="A519" s="12"/>
      <c r="B519" s="6"/>
      <c r="C519" s="13" t="str">
        <f aca="false">IF(B519="","",IFERROR(INDEX(สินค้า!$B$2:$B$101,MATCH(B519,สินค้า!$A$2:$A$101,0)),"ไม่พบรหัส"))</f>
        <v/>
      </c>
      <c r="D519" s="14" t="str">
        <f aca="false">IF(B519="","",IFERROR(INDEX(สินค้า!$D$2:$D$101,MATCH(B519,สินค้า!$A$2:$A$101,0)),""))</f>
        <v/>
      </c>
      <c r="E519" s="6"/>
      <c r="F519" s="8"/>
      <c r="G519" s="8"/>
      <c r="H519" s="8"/>
      <c r="I519" s="15"/>
      <c r="J519" s="15"/>
      <c r="K519" s="10" t="str">
        <f aca="false">IF(J519&lt;&gt;"",J519,IF(I519="","",I519*IFERROR(INDEX(สินค้า!$G$2:$G$101,MATCH(B519,สินค้า!$A$2:$A$101,0)),0)))</f>
        <v/>
      </c>
      <c r="L519" s="16" t="str">
        <f aca="false">IF(OR(F519="",F519=0,G519=""),"",G519/F519)</f>
        <v/>
      </c>
      <c r="M519" s="16" t="str">
        <f aca="false">IF(OR(G519="",G519=0,H519=""),"",H519/G519)</f>
        <v/>
      </c>
    </row>
    <row r="520" customFormat="false" ht="15" hidden="false" customHeight="false" outlineLevel="0" collapsed="false">
      <c r="A520" s="12"/>
      <c r="B520" s="6"/>
      <c r="C520" s="13" t="str">
        <f aca="false">IF(B520="","",IFERROR(INDEX(สินค้า!$B$2:$B$101,MATCH(B520,สินค้า!$A$2:$A$101,0)),"ไม่พบรหัส"))</f>
        <v/>
      </c>
      <c r="D520" s="14" t="str">
        <f aca="false">IF(B520="","",IFERROR(INDEX(สินค้า!$D$2:$D$101,MATCH(B520,สินค้า!$A$2:$A$101,0)),""))</f>
        <v/>
      </c>
      <c r="E520" s="6"/>
      <c r="F520" s="8"/>
      <c r="G520" s="8"/>
      <c r="H520" s="8"/>
      <c r="I520" s="15"/>
      <c r="J520" s="15"/>
      <c r="K520" s="10" t="str">
        <f aca="false">IF(J520&lt;&gt;"",J520,IF(I520="","",I520*IFERROR(INDEX(สินค้า!$G$2:$G$101,MATCH(B520,สินค้า!$A$2:$A$101,0)),0)))</f>
        <v/>
      </c>
      <c r="L520" s="16" t="str">
        <f aca="false">IF(OR(F520="",F520=0,G520=""),"",G520/F520)</f>
        <v/>
      </c>
      <c r="M520" s="16" t="str">
        <f aca="false">IF(OR(G520="",G520=0,H520=""),"",H520/G520)</f>
        <v/>
      </c>
    </row>
    <row r="521" customFormat="false" ht="15" hidden="false" customHeight="false" outlineLevel="0" collapsed="false">
      <c r="A521" s="12"/>
      <c r="B521" s="6"/>
      <c r="C521" s="13" t="str">
        <f aca="false">IF(B521="","",IFERROR(INDEX(สินค้า!$B$2:$B$101,MATCH(B521,สินค้า!$A$2:$A$101,0)),"ไม่พบรหัส"))</f>
        <v/>
      </c>
      <c r="D521" s="14" t="str">
        <f aca="false">IF(B521="","",IFERROR(INDEX(สินค้า!$D$2:$D$101,MATCH(B521,สินค้า!$A$2:$A$101,0)),""))</f>
        <v/>
      </c>
      <c r="E521" s="6"/>
      <c r="F521" s="8"/>
      <c r="G521" s="8"/>
      <c r="H521" s="8"/>
      <c r="I521" s="15"/>
      <c r="J521" s="15"/>
      <c r="K521" s="10" t="str">
        <f aca="false">IF(J521&lt;&gt;"",J521,IF(I521="","",I521*IFERROR(INDEX(สินค้า!$G$2:$G$101,MATCH(B521,สินค้า!$A$2:$A$101,0)),0)))</f>
        <v/>
      </c>
      <c r="L521" s="16" t="str">
        <f aca="false">IF(OR(F521="",F521=0,G521=""),"",G521/F521)</f>
        <v/>
      </c>
      <c r="M521" s="16" t="str">
        <f aca="false">IF(OR(G521="",G521=0,H521=""),"",H521/G521)</f>
        <v/>
      </c>
    </row>
    <row r="522" customFormat="false" ht="15" hidden="false" customHeight="false" outlineLevel="0" collapsed="false">
      <c r="A522" s="12"/>
      <c r="B522" s="6"/>
      <c r="C522" s="13" t="str">
        <f aca="false">IF(B522="","",IFERROR(INDEX(สินค้า!$B$2:$B$101,MATCH(B522,สินค้า!$A$2:$A$101,0)),"ไม่พบรหัส"))</f>
        <v/>
      </c>
      <c r="D522" s="14" t="str">
        <f aca="false">IF(B522="","",IFERROR(INDEX(สินค้า!$D$2:$D$101,MATCH(B522,สินค้า!$A$2:$A$101,0)),""))</f>
        <v/>
      </c>
      <c r="E522" s="6"/>
      <c r="F522" s="8"/>
      <c r="G522" s="8"/>
      <c r="H522" s="8"/>
      <c r="I522" s="15"/>
      <c r="J522" s="15"/>
      <c r="K522" s="10" t="str">
        <f aca="false">IF(J522&lt;&gt;"",J522,IF(I522="","",I522*IFERROR(INDEX(สินค้า!$G$2:$G$101,MATCH(B522,สินค้า!$A$2:$A$101,0)),0)))</f>
        <v/>
      </c>
      <c r="L522" s="16" t="str">
        <f aca="false">IF(OR(F522="",F522=0,G522=""),"",G522/F522)</f>
        <v/>
      </c>
      <c r="M522" s="16" t="str">
        <f aca="false">IF(OR(G522="",G522=0,H522=""),"",H522/G522)</f>
        <v/>
      </c>
    </row>
    <row r="523" customFormat="false" ht="15" hidden="false" customHeight="false" outlineLevel="0" collapsed="false">
      <c r="A523" s="12"/>
      <c r="B523" s="6"/>
      <c r="C523" s="13" t="str">
        <f aca="false">IF(B523="","",IFERROR(INDEX(สินค้า!$B$2:$B$101,MATCH(B523,สินค้า!$A$2:$A$101,0)),"ไม่พบรหัส"))</f>
        <v/>
      </c>
      <c r="D523" s="14" t="str">
        <f aca="false">IF(B523="","",IFERROR(INDEX(สินค้า!$D$2:$D$101,MATCH(B523,สินค้า!$A$2:$A$101,0)),""))</f>
        <v/>
      </c>
      <c r="E523" s="6"/>
      <c r="F523" s="8"/>
      <c r="G523" s="8"/>
      <c r="H523" s="8"/>
      <c r="I523" s="15"/>
      <c r="J523" s="15"/>
      <c r="K523" s="10" t="str">
        <f aca="false">IF(J523&lt;&gt;"",J523,IF(I523="","",I523*IFERROR(INDEX(สินค้า!$G$2:$G$101,MATCH(B523,สินค้า!$A$2:$A$101,0)),0)))</f>
        <v/>
      </c>
      <c r="L523" s="16" t="str">
        <f aca="false">IF(OR(F523="",F523=0,G523=""),"",G523/F523)</f>
        <v/>
      </c>
      <c r="M523" s="16" t="str">
        <f aca="false">IF(OR(G523="",G523=0,H523=""),"",H523/G523)</f>
        <v/>
      </c>
    </row>
    <row r="524" customFormat="false" ht="15" hidden="false" customHeight="false" outlineLevel="0" collapsed="false">
      <c r="A524" s="12"/>
      <c r="B524" s="6"/>
      <c r="C524" s="13" t="str">
        <f aca="false">IF(B524="","",IFERROR(INDEX(สินค้า!$B$2:$B$101,MATCH(B524,สินค้า!$A$2:$A$101,0)),"ไม่พบรหัส"))</f>
        <v/>
      </c>
      <c r="D524" s="14" t="str">
        <f aca="false">IF(B524="","",IFERROR(INDEX(สินค้า!$D$2:$D$101,MATCH(B524,สินค้า!$A$2:$A$101,0)),""))</f>
        <v/>
      </c>
      <c r="E524" s="6"/>
      <c r="F524" s="8"/>
      <c r="G524" s="8"/>
      <c r="H524" s="8"/>
      <c r="I524" s="15"/>
      <c r="J524" s="15"/>
      <c r="K524" s="10" t="str">
        <f aca="false">IF(J524&lt;&gt;"",J524,IF(I524="","",I524*IFERROR(INDEX(สินค้า!$G$2:$G$101,MATCH(B524,สินค้า!$A$2:$A$101,0)),0)))</f>
        <v/>
      </c>
      <c r="L524" s="16" t="str">
        <f aca="false">IF(OR(F524="",F524=0,G524=""),"",G524/F524)</f>
        <v/>
      </c>
      <c r="M524" s="16" t="str">
        <f aca="false">IF(OR(G524="",G524=0,H524=""),"",H524/G524)</f>
        <v/>
      </c>
    </row>
    <row r="525" customFormat="false" ht="15" hidden="false" customHeight="false" outlineLevel="0" collapsed="false">
      <c r="A525" s="12"/>
      <c r="B525" s="6"/>
      <c r="C525" s="13" t="str">
        <f aca="false">IF(B525="","",IFERROR(INDEX(สินค้า!$B$2:$B$101,MATCH(B525,สินค้า!$A$2:$A$101,0)),"ไม่พบรหัส"))</f>
        <v/>
      </c>
      <c r="D525" s="14" t="str">
        <f aca="false">IF(B525="","",IFERROR(INDEX(สินค้า!$D$2:$D$101,MATCH(B525,สินค้า!$A$2:$A$101,0)),""))</f>
        <v/>
      </c>
      <c r="E525" s="6"/>
      <c r="F525" s="8"/>
      <c r="G525" s="8"/>
      <c r="H525" s="8"/>
      <c r="I525" s="15"/>
      <c r="J525" s="15"/>
      <c r="K525" s="10" t="str">
        <f aca="false">IF(J525&lt;&gt;"",J525,IF(I525="","",I525*IFERROR(INDEX(สินค้า!$G$2:$G$101,MATCH(B525,สินค้า!$A$2:$A$101,0)),0)))</f>
        <v/>
      </c>
      <c r="L525" s="16" t="str">
        <f aca="false">IF(OR(F525="",F525=0,G525=""),"",G525/F525)</f>
        <v/>
      </c>
      <c r="M525" s="16" t="str">
        <f aca="false">IF(OR(G525="",G525=0,H525=""),"",H525/G525)</f>
        <v/>
      </c>
    </row>
    <row r="526" customFormat="false" ht="15" hidden="false" customHeight="false" outlineLevel="0" collapsed="false">
      <c r="A526" s="12"/>
      <c r="B526" s="6"/>
      <c r="C526" s="13" t="str">
        <f aca="false">IF(B526="","",IFERROR(INDEX(สินค้า!$B$2:$B$101,MATCH(B526,สินค้า!$A$2:$A$101,0)),"ไม่พบรหัส"))</f>
        <v/>
      </c>
      <c r="D526" s="14" t="str">
        <f aca="false">IF(B526="","",IFERROR(INDEX(สินค้า!$D$2:$D$101,MATCH(B526,สินค้า!$A$2:$A$101,0)),""))</f>
        <v/>
      </c>
      <c r="E526" s="6"/>
      <c r="F526" s="8"/>
      <c r="G526" s="8"/>
      <c r="H526" s="8"/>
      <c r="I526" s="15"/>
      <c r="J526" s="15"/>
      <c r="K526" s="10" t="str">
        <f aca="false">IF(J526&lt;&gt;"",J526,IF(I526="","",I526*IFERROR(INDEX(สินค้า!$G$2:$G$101,MATCH(B526,สินค้า!$A$2:$A$101,0)),0)))</f>
        <v/>
      </c>
      <c r="L526" s="16" t="str">
        <f aca="false">IF(OR(F526="",F526=0,G526=""),"",G526/F526)</f>
        <v/>
      </c>
      <c r="M526" s="16" t="str">
        <f aca="false">IF(OR(G526="",G526=0,H526=""),"",H526/G526)</f>
        <v/>
      </c>
    </row>
    <row r="527" customFormat="false" ht="15" hidden="false" customHeight="false" outlineLevel="0" collapsed="false">
      <c r="A527" s="12"/>
      <c r="B527" s="6"/>
      <c r="C527" s="13" t="str">
        <f aca="false">IF(B527="","",IFERROR(INDEX(สินค้า!$B$2:$B$101,MATCH(B527,สินค้า!$A$2:$A$101,0)),"ไม่พบรหัส"))</f>
        <v/>
      </c>
      <c r="D527" s="14" t="str">
        <f aca="false">IF(B527="","",IFERROR(INDEX(สินค้า!$D$2:$D$101,MATCH(B527,สินค้า!$A$2:$A$101,0)),""))</f>
        <v/>
      </c>
      <c r="E527" s="6"/>
      <c r="F527" s="8"/>
      <c r="G527" s="8"/>
      <c r="H527" s="8"/>
      <c r="I527" s="15"/>
      <c r="J527" s="15"/>
      <c r="K527" s="10" t="str">
        <f aca="false">IF(J527&lt;&gt;"",J527,IF(I527="","",I527*IFERROR(INDEX(สินค้า!$G$2:$G$101,MATCH(B527,สินค้า!$A$2:$A$101,0)),0)))</f>
        <v/>
      </c>
      <c r="L527" s="16" t="str">
        <f aca="false">IF(OR(F527="",F527=0,G527=""),"",G527/F527)</f>
        <v/>
      </c>
      <c r="M527" s="16" t="str">
        <f aca="false">IF(OR(G527="",G527=0,H527=""),"",H527/G527)</f>
        <v/>
      </c>
    </row>
    <row r="528" customFormat="false" ht="15" hidden="false" customHeight="false" outlineLevel="0" collapsed="false">
      <c r="A528" s="12"/>
      <c r="B528" s="6"/>
      <c r="C528" s="13" t="str">
        <f aca="false">IF(B528="","",IFERROR(INDEX(สินค้า!$B$2:$B$101,MATCH(B528,สินค้า!$A$2:$A$101,0)),"ไม่พบรหัส"))</f>
        <v/>
      </c>
      <c r="D528" s="14" t="str">
        <f aca="false">IF(B528="","",IFERROR(INDEX(สินค้า!$D$2:$D$101,MATCH(B528,สินค้า!$A$2:$A$101,0)),""))</f>
        <v/>
      </c>
      <c r="E528" s="6"/>
      <c r="F528" s="8"/>
      <c r="G528" s="8"/>
      <c r="H528" s="8"/>
      <c r="I528" s="15"/>
      <c r="J528" s="15"/>
      <c r="K528" s="10" t="str">
        <f aca="false">IF(J528&lt;&gt;"",J528,IF(I528="","",I528*IFERROR(INDEX(สินค้า!$G$2:$G$101,MATCH(B528,สินค้า!$A$2:$A$101,0)),0)))</f>
        <v/>
      </c>
      <c r="L528" s="16" t="str">
        <f aca="false">IF(OR(F528="",F528=0,G528=""),"",G528/F528)</f>
        <v/>
      </c>
      <c r="M528" s="16" t="str">
        <f aca="false">IF(OR(G528="",G528=0,H528=""),"",H528/G528)</f>
        <v/>
      </c>
    </row>
    <row r="529" customFormat="false" ht="15" hidden="false" customHeight="false" outlineLevel="0" collapsed="false">
      <c r="A529" s="12"/>
      <c r="B529" s="6"/>
      <c r="C529" s="13" t="str">
        <f aca="false">IF(B529="","",IFERROR(INDEX(สินค้า!$B$2:$B$101,MATCH(B529,สินค้า!$A$2:$A$101,0)),"ไม่พบรหัส"))</f>
        <v/>
      </c>
      <c r="D529" s="14" t="str">
        <f aca="false">IF(B529="","",IFERROR(INDEX(สินค้า!$D$2:$D$101,MATCH(B529,สินค้า!$A$2:$A$101,0)),""))</f>
        <v/>
      </c>
      <c r="E529" s="6"/>
      <c r="F529" s="8"/>
      <c r="G529" s="8"/>
      <c r="H529" s="8"/>
      <c r="I529" s="15"/>
      <c r="J529" s="15"/>
      <c r="K529" s="10" t="str">
        <f aca="false">IF(J529&lt;&gt;"",J529,IF(I529="","",I529*IFERROR(INDEX(สินค้า!$G$2:$G$101,MATCH(B529,สินค้า!$A$2:$A$101,0)),0)))</f>
        <v/>
      </c>
      <c r="L529" s="16" t="str">
        <f aca="false">IF(OR(F529="",F529=0,G529=""),"",G529/F529)</f>
        <v/>
      </c>
      <c r="M529" s="16" t="str">
        <f aca="false">IF(OR(G529="",G529=0,H529=""),"",H529/G529)</f>
        <v/>
      </c>
    </row>
    <row r="530" customFormat="false" ht="15" hidden="false" customHeight="false" outlineLevel="0" collapsed="false">
      <c r="A530" s="12"/>
      <c r="B530" s="6"/>
      <c r="C530" s="13" t="str">
        <f aca="false">IF(B530="","",IFERROR(INDEX(สินค้า!$B$2:$B$101,MATCH(B530,สินค้า!$A$2:$A$101,0)),"ไม่พบรหัส"))</f>
        <v/>
      </c>
      <c r="D530" s="14" t="str">
        <f aca="false">IF(B530="","",IFERROR(INDEX(สินค้า!$D$2:$D$101,MATCH(B530,สินค้า!$A$2:$A$101,0)),""))</f>
        <v/>
      </c>
      <c r="E530" s="6"/>
      <c r="F530" s="8"/>
      <c r="G530" s="8"/>
      <c r="H530" s="8"/>
      <c r="I530" s="15"/>
      <c r="J530" s="15"/>
      <c r="K530" s="10" t="str">
        <f aca="false">IF(J530&lt;&gt;"",J530,IF(I530="","",I530*IFERROR(INDEX(สินค้า!$G$2:$G$101,MATCH(B530,สินค้า!$A$2:$A$101,0)),0)))</f>
        <v/>
      </c>
      <c r="L530" s="16" t="str">
        <f aca="false">IF(OR(F530="",F530=0,G530=""),"",G530/F530)</f>
        <v/>
      </c>
      <c r="M530" s="16" t="str">
        <f aca="false">IF(OR(G530="",G530=0,H530=""),"",H530/G530)</f>
        <v/>
      </c>
    </row>
    <row r="531" customFormat="false" ht="15" hidden="false" customHeight="false" outlineLevel="0" collapsed="false">
      <c r="A531" s="12"/>
      <c r="B531" s="6"/>
      <c r="C531" s="13" t="str">
        <f aca="false">IF(B531="","",IFERROR(INDEX(สินค้า!$B$2:$B$101,MATCH(B531,สินค้า!$A$2:$A$101,0)),"ไม่พบรหัส"))</f>
        <v/>
      </c>
      <c r="D531" s="14" t="str">
        <f aca="false">IF(B531="","",IFERROR(INDEX(สินค้า!$D$2:$D$101,MATCH(B531,สินค้า!$A$2:$A$101,0)),""))</f>
        <v/>
      </c>
      <c r="E531" s="6"/>
      <c r="F531" s="8"/>
      <c r="G531" s="8"/>
      <c r="H531" s="8"/>
      <c r="I531" s="15"/>
      <c r="J531" s="15"/>
      <c r="K531" s="10" t="str">
        <f aca="false">IF(J531&lt;&gt;"",J531,IF(I531="","",I531*IFERROR(INDEX(สินค้า!$G$2:$G$101,MATCH(B531,สินค้า!$A$2:$A$101,0)),0)))</f>
        <v/>
      </c>
      <c r="L531" s="16" t="str">
        <f aca="false">IF(OR(F531="",F531=0,G531=""),"",G531/F531)</f>
        <v/>
      </c>
      <c r="M531" s="16" t="str">
        <f aca="false">IF(OR(G531="",G531=0,H531=""),"",H531/G531)</f>
        <v/>
      </c>
    </row>
    <row r="532" customFormat="false" ht="15" hidden="false" customHeight="false" outlineLevel="0" collapsed="false">
      <c r="A532" s="12"/>
      <c r="B532" s="6"/>
      <c r="C532" s="13" t="str">
        <f aca="false">IF(B532="","",IFERROR(INDEX(สินค้า!$B$2:$B$101,MATCH(B532,สินค้า!$A$2:$A$101,0)),"ไม่พบรหัส"))</f>
        <v/>
      </c>
      <c r="D532" s="14" t="str">
        <f aca="false">IF(B532="","",IFERROR(INDEX(สินค้า!$D$2:$D$101,MATCH(B532,สินค้า!$A$2:$A$101,0)),""))</f>
        <v/>
      </c>
      <c r="E532" s="6"/>
      <c r="F532" s="8"/>
      <c r="G532" s="8"/>
      <c r="H532" s="8"/>
      <c r="I532" s="15"/>
      <c r="J532" s="15"/>
      <c r="K532" s="10" t="str">
        <f aca="false">IF(J532&lt;&gt;"",J532,IF(I532="","",I532*IFERROR(INDEX(สินค้า!$G$2:$G$101,MATCH(B532,สินค้า!$A$2:$A$101,0)),0)))</f>
        <v/>
      </c>
      <c r="L532" s="16" t="str">
        <f aca="false">IF(OR(F532="",F532=0,G532=""),"",G532/F532)</f>
        <v/>
      </c>
      <c r="M532" s="16" t="str">
        <f aca="false">IF(OR(G532="",G532=0,H532=""),"",H532/G532)</f>
        <v/>
      </c>
    </row>
    <row r="533" customFormat="false" ht="15" hidden="false" customHeight="false" outlineLevel="0" collapsed="false">
      <c r="A533" s="12"/>
      <c r="B533" s="6"/>
      <c r="C533" s="13" t="str">
        <f aca="false">IF(B533="","",IFERROR(INDEX(สินค้า!$B$2:$B$101,MATCH(B533,สินค้า!$A$2:$A$101,0)),"ไม่พบรหัส"))</f>
        <v/>
      </c>
      <c r="D533" s="14" t="str">
        <f aca="false">IF(B533="","",IFERROR(INDEX(สินค้า!$D$2:$D$101,MATCH(B533,สินค้า!$A$2:$A$101,0)),""))</f>
        <v/>
      </c>
      <c r="E533" s="6"/>
      <c r="F533" s="8"/>
      <c r="G533" s="8"/>
      <c r="H533" s="8"/>
      <c r="I533" s="15"/>
      <c r="J533" s="15"/>
      <c r="K533" s="10" t="str">
        <f aca="false">IF(J533&lt;&gt;"",J533,IF(I533="","",I533*IFERROR(INDEX(สินค้า!$G$2:$G$101,MATCH(B533,สินค้า!$A$2:$A$101,0)),0)))</f>
        <v/>
      </c>
      <c r="L533" s="16" t="str">
        <f aca="false">IF(OR(F533="",F533=0,G533=""),"",G533/F533)</f>
        <v/>
      </c>
      <c r="M533" s="16" t="str">
        <f aca="false">IF(OR(G533="",G533=0,H533=""),"",H533/G533)</f>
        <v/>
      </c>
    </row>
    <row r="534" customFormat="false" ht="15" hidden="false" customHeight="false" outlineLevel="0" collapsed="false">
      <c r="A534" s="12"/>
      <c r="B534" s="6"/>
      <c r="C534" s="13" t="str">
        <f aca="false">IF(B534="","",IFERROR(INDEX(สินค้า!$B$2:$B$101,MATCH(B534,สินค้า!$A$2:$A$101,0)),"ไม่พบรหัส"))</f>
        <v/>
      </c>
      <c r="D534" s="14" t="str">
        <f aca="false">IF(B534="","",IFERROR(INDEX(สินค้า!$D$2:$D$101,MATCH(B534,สินค้า!$A$2:$A$101,0)),""))</f>
        <v/>
      </c>
      <c r="E534" s="6"/>
      <c r="F534" s="8"/>
      <c r="G534" s="8"/>
      <c r="H534" s="8"/>
      <c r="I534" s="15"/>
      <c r="J534" s="15"/>
      <c r="K534" s="10" t="str">
        <f aca="false">IF(J534&lt;&gt;"",J534,IF(I534="","",I534*IFERROR(INDEX(สินค้า!$G$2:$G$101,MATCH(B534,สินค้า!$A$2:$A$101,0)),0)))</f>
        <v/>
      </c>
      <c r="L534" s="16" t="str">
        <f aca="false">IF(OR(F534="",F534=0,G534=""),"",G534/F534)</f>
        <v/>
      </c>
      <c r="M534" s="16" t="str">
        <f aca="false">IF(OR(G534="",G534=0,H534=""),"",H534/G534)</f>
        <v/>
      </c>
    </row>
    <row r="535" customFormat="false" ht="15" hidden="false" customHeight="false" outlineLevel="0" collapsed="false">
      <c r="A535" s="12"/>
      <c r="B535" s="6"/>
      <c r="C535" s="13" t="str">
        <f aca="false">IF(B535="","",IFERROR(INDEX(สินค้า!$B$2:$B$101,MATCH(B535,สินค้า!$A$2:$A$101,0)),"ไม่พบรหัส"))</f>
        <v/>
      </c>
      <c r="D535" s="14" t="str">
        <f aca="false">IF(B535="","",IFERROR(INDEX(สินค้า!$D$2:$D$101,MATCH(B535,สินค้า!$A$2:$A$101,0)),""))</f>
        <v/>
      </c>
      <c r="E535" s="6"/>
      <c r="F535" s="8"/>
      <c r="G535" s="8"/>
      <c r="H535" s="8"/>
      <c r="I535" s="15"/>
      <c r="J535" s="15"/>
      <c r="K535" s="10" t="str">
        <f aca="false">IF(J535&lt;&gt;"",J535,IF(I535="","",I535*IFERROR(INDEX(สินค้า!$G$2:$G$101,MATCH(B535,สินค้า!$A$2:$A$101,0)),0)))</f>
        <v/>
      </c>
      <c r="L535" s="16" t="str">
        <f aca="false">IF(OR(F535="",F535=0,G535=""),"",G535/F535)</f>
        <v/>
      </c>
      <c r="M535" s="16" t="str">
        <f aca="false">IF(OR(G535="",G535=0,H535=""),"",H535/G535)</f>
        <v/>
      </c>
    </row>
    <row r="536" customFormat="false" ht="15" hidden="false" customHeight="false" outlineLevel="0" collapsed="false">
      <c r="A536" s="12"/>
      <c r="B536" s="6"/>
      <c r="C536" s="13" t="str">
        <f aca="false">IF(B536="","",IFERROR(INDEX(สินค้า!$B$2:$B$101,MATCH(B536,สินค้า!$A$2:$A$101,0)),"ไม่พบรหัส"))</f>
        <v/>
      </c>
      <c r="D536" s="14" t="str">
        <f aca="false">IF(B536="","",IFERROR(INDEX(สินค้า!$D$2:$D$101,MATCH(B536,สินค้า!$A$2:$A$101,0)),""))</f>
        <v/>
      </c>
      <c r="E536" s="6"/>
      <c r="F536" s="8"/>
      <c r="G536" s="8"/>
      <c r="H536" s="8"/>
      <c r="I536" s="15"/>
      <c r="J536" s="15"/>
      <c r="K536" s="10" t="str">
        <f aca="false">IF(J536&lt;&gt;"",J536,IF(I536="","",I536*IFERROR(INDEX(สินค้า!$G$2:$G$101,MATCH(B536,สินค้า!$A$2:$A$101,0)),0)))</f>
        <v/>
      </c>
      <c r="L536" s="16" t="str">
        <f aca="false">IF(OR(F536="",F536=0,G536=""),"",G536/F536)</f>
        <v/>
      </c>
      <c r="M536" s="16" t="str">
        <f aca="false">IF(OR(G536="",G536=0,H536=""),"",H536/G536)</f>
        <v/>
      </c>
    </row>
    <row r="537" customFormat="false" ht="15" hidden="false" customHeight="false" outlineLevel="0" collapsed="false">
      <c r="A537" s="12"/>
      <c r="B537" s="6"/>
      <c r="C537" s="13" t="str">
        <f aca="false">IF(B537="","",IFERROR(INDEX(สินค้า!$B$2:$B$101,MATCH(B537,สินค้า!$A$2:$A$101,0)),"ไม่พบรหัส"))</f>
        <v/>
      </c>
      <c r="D537" s="14" t="str">
        <f aca="false">IF(B537="","",IFERROR(INDEX(สินค้า!$D$2:$D$101,MATCH(B537,สินค้า!$A$2:$A$101,0)),""))</f>
        <v/>
      </c>
      <c r="E537" s="6"/>
      <c r="F537" s="8"/>
      <c r="G537" s="8"/>
      <c r="H537" s="8"/>
      <c r="I537" s="15"/>
      <c r="J537" s="15"/>
      <c r="K537" s="10" t="str">
        <f aca="false">IF(J537&lt;&gt;"",J537,IF(I537="","",I537*IFERROR(INDEX(สินค้า!$G$2:$G$101,MATCH(B537,สินค้า!$A$2:$A$101,0)),0)))</f>
        <v/>
      </c>
      <c r="L537" s="16" t="str">
        <f aca="false">IF(OR(F537="",F537=0,G537=""),"",G537/F537)</f>
        <v/>
      </c>
      <c r="M537" s="16" t="str">
        <f aca="false">IF(OR(G537="",G537=0,H537=""),"",H537/G537)</f>
        <v/>
      </c>
    </row>
    <row r="538" customFormat="false" ht="15" hidden="false" customHeight="false" outlineLevel="0" collapsed="false">
      <c r="A538" s="12"/>
      <c r="B538" s="6"/>
      <c r="C538" s="13" t="str">
        <f aca="false">IF(B538="","",IFERROR(INDEX(สินค้า!$B$2:$B$101,MATCH(B538,สินค้า!$A$2:$A$101,0)),"ไม่พบรหัส"))</f>
        <v/>
      </c>
      <c r="D538" s="14" t="str">
        <f aca="false">IF(B538="","",IFERROR(INDEX(สินค้า!$D$2:$D$101,MATCH(B538,สินค้า!$A$2:$A$101,0)),""))</f>
        <v/>
      </c>
      <c r="E538" s="6"/>
      <c r="F538" s="8"/>
      <c r="G538" s="8"/>
      <c r="H538" s="8"/>
      <c r="I538" s="15"/>
      <c r="J538" s="15"/>
      <c r="K538" s="10" t="str">
        <f aca="false">IF(J538&lt;&gt;"",J538,IF(I538="","",I538*IFERROR(INDEX(สินค้า!$G$2:$G$101,MATCH(B538,สินค้า!$A$2:$A$101,0)),0)))</f>
        <v/>
      </c>
      <c r="L538" s="16" t="str">
        <f aca="false">IF(OR(F538="",F538=0,G538=""),"",G538/F538)</f>
        <v/>
      </c>
      <c r="M538" s="16" t="str">
        <f aca="false">IF(OR(G538="",G538=0,H538=""),"",H538/G538)</f>
        <v/>
      </c>
    </row>
    <row r="539" customFormat="false" ht="15" hidden="false" customHeight="false" outlineLevel="0" collapsed="false">
      <c r="A539" s="12"/>
      <c r="B539" s="6"/>
      <c r="C539" s="13" t="str">
        <f aca="false">IF(B539="","",IFERROR(INDEX(สินค้า!$B$2:$B$101,MATCH(B539,สินค้า!$A$2:$A$101,0)),"ไม่พบรหัส"))</f>
        <v/>
      </c>
      <c r="D539" s="14" t="str">
        <f aca="false">IF(B539="","",IFERROR(INDEX(สินค้า!$D$2:$D$101,MATCH(B539,สินค้า!$A$2:$A$101,0)),""))</f>
        <v/>
      </c>
      <c r="E539" s="6"/>
      <c r="F539" s="8"/>
      <c r="G539" s="8"/>
      <c r="H539" s="8"/>
      <c r="I539" s="15"/>
      <c r="J539" s="15"/>
      <c r="K539" s="10" t="str">
        <f aca="false">IF(J539&lt;&gt;"",J539,IF(I539="","",I539*IFERROR(INDEX(สินค้า!$G$2:$G$101,MATCH(B539,สินค้า!$A$2:$A$101,0)),0)))</f>
        <v/>
      </c>
      <c r="L539" s="16" t="str">
        <f aca="false">IF(OR(F539="",F539=0,G539=""),"",G539/F539)</f>
        <v/>
      </c>
      <c r="M539" s="16" t="str">
        <f aca="false">IF(OR(G539="",G539=0,H539=""),"",H539/G539)</f>
        <v/>
      </c>
    </row>
    <row r="540" customFormat="false" ht="15" hidden="false" customHeight="false" outlineLevel="0" collapsed="false">
      <c r="A540" s="12"/>
      <c r="B540" s="6"/>
      <c r="C540" s="13" t="str">
        <f aca="false">IF(B540="","",IFERROR(INDEX(สินค้า!$B$2:$B$101,MATCH(B540,สินค้า!$A$2:$A$101,0)),"ไม่พบรหัส"))</f>
        <v/>
      </c>
      <c r="D540" s="14" t="str">
        <f aca="false">IF(B540="","",IFERROR(INDEX(สินค้า!$D$2:$D$101,MATCH(B540,สินค้า!$A$2:$A$101,0)),""))</f>
        <v/>
      </c>
      <c r="E540" s="6"/>
      <c r="F540" s="8"/>
      <c r="G540" s="8"/>
      <c r="H540" s="8"/>
      <c r="I540" s="15"/>
      <c r="J540" s="15"/>
      <c r="K540" s="10" t="str">
        <f aca="false">IF(J540&lt;&gt;"",J540,IF(I540="","",I540*IFERROR(INDEX(สินค้า!$G$2:$G$101,MATCH(B540,สินค้า!$A$2:$A$101,0)),0)))</f>
        <v/>
      </c>
      <c r="L540" s="16" t="str">
        <f aca="false">IF(OR(F540="",F540=0,G540=""),"",G540/F540)</f>
        <v/>
      </c>
      <c r="M540" s="16" t="str">
        <f aca="false">IF(OR(G540="",G540=0,H540=""),"",H540/G540)</f>
        <v/>
      </c>
    </row>
    <row r="541" customFormat="false" ht="15" hidden="false" customHeight="false" outlineLevel="0" collapsed="false">
      <c r="A541" s="12"/>
      <c r="B541" s="6"/>
      <c r="C541" s="13" t="str">
        <f aca="false">IF(B541="","",IFERROR(INDEX(สินค้า!$B$2:$B$101,MATCH(B541,สินค้า!$A$2:$A$101,0)),"ไม่พบรหัส"))</f>
        <v/>
      </c>
      <c r="D541" s="14" t="str">
        <f aca="false">IF(B541="","",IFERROR(INDEX(สินค้า!$D$2:$D$101,MATCH(B541,สินค้า!$A$2:$A$101,0)),""))</f>
        <v/>
      </c>
      <c r="E541" s="6"/>
      <c r="F541" s="8"/>
      <c r="G541" s="8"/>
      <c r="H541" s="8"/>
      <c r="I541" s="15"/>
      <c r="J541" s="15"/>
      <c r="K541" s="10" t="str">
        <f aca="false">IF(J541&lt;&gt;"",J541,IF(I541="","",I541*IFERROR(INDEX(สินค้า!$G$2:$G$101,MATCH(B541,สินค้า!$A$2:$A$101,0)),0)))</f>
        <v/>
      </c>
      <c r="L541" s="16" t="str">
        <f aca="false">IF(OR(F541="",F541=0,G541=""),"",G541/F541)</f>
        <v/>
      </c>
      <c r="M541" s="16" t="str">
        <f aca="false">IF(OR(G541="",G541=0,H541=""),"",H541/G541)</f>
        <v/>
      </c>
    </row>
    <row r="542" customFormat="false" ht="15" hidden="false" customHeight="false" outlineLevel="0" collapsed="false">
      <c r="A542" s="12"/>
      <c r="B542" s="6"/>
      <c r="C542" s="13" t="str">
        <f aca="false">IF(B542="","",IFERROR(INDEX(สินค้า!$B$2:$B$101,MATCH(B542,สินค้า!$A$2:$A$101,0)),"ไม่พบรหัส"))</f>
        <v/>
      </c>
      <c r="D542" s="14" t="str">
        <f aca="false">IF(B542="","",IFERROR(INDEX(สินค้า!$D$2:$D$101,MATCH(B542,สินค้า!$A$2:$A$101,0)),""))</f>
        <v/>
      </c>
      <c r="E542" s="6"/>
      <c r="F542" s="8"/>
      <c r="G542" s="8"/>
      <c r="H542" s="8"/>
      <c r="I542" s="15"/>
      <c r="J542" s="15"/>
      <c r="K542" s="10" t="str">
        <f aca="false">IF(J542&lt;&gt;"",J542,IF(I542="","",I542*IFERROR(INDEX(สินค้า!$G$2:$G$101,MATCH(B542,สินค้า!$A$2:$A$101,0)),0)))</f>
        <v/>
      </c>
      <c r="L542" s="16" t="str">
        <f aca="false">IF(OR(F542="",F542=0,G542=""),"",G542/F542)</f>
        <v/>
      </c>
      <c r="M542" s="16" t="str">
        <f aca="false">IF(OR(G542="",G542=0,H542=""),"",H542/G542)</f>
        <v/>
      </c>
    </row>
    <row r="543" customFormat="false" ht="15" hidden="false" customHeight="false" outlineLevel="0" collapsed="false">
      <c r="A543" s="12"/>
      <c r="B543" s="6"/>
      <c r="C543" s="13" t="str">
        <f aca="false">IF(B543="","",IFERROR(INDEX(สินค้า!$B$2:$B$101,MATCH(B543,สินค้า!$A$2:$A$101,0)),"ไม่พบรหัส"))</f>
        <v/>
      </c>
      <c r="D543" s="14" t="str">
        <f aca="false">IF(B543="","",IFERROR(INDEX(สินค้า!$D$2:$D$101,MATCH(B543,สินค้า!$A$2:$A$101,0)),""))</f>
        <v/>
      </c>
      <c r="E543" s="6"/>
      <c r="F543" s="8"/>
      <c r="G543" s="8"/>
      <c r="H543" s="8"/>
      <c r="I543" s="15"/>
      <c r="J543" s="15"/>
      <c r="K543" s="10" t="str">
        <f aca="false">IF(J543&lt;&gt;"",J543,IF(I543="","",I543*IFERROR(INDEX(สินค้า!$G$2:$G$101,MATCH(B543,สินค้า!$A$2:$A$101,0)),0)))</f>
        <v/>
      </c>
      <c r="L543" s="16" t="str">
        <f aca="false">IF(OR(F543="",F543=0,G543=""),"",G543/F543)</f>
        <v/>
      </c>
      <c r="M543" s="16" t="str">
        <f aca="false">IF(OR(G543="",G543=0,H543=""),"",H543/G543)</f>
        <v/>
      </c>
    </row>
    <row r="544" customFormat="false" ht="15" hidden="false" customHeight="false" outlineLevel="0" collapsed="false">
      <c r="A544" s="12"/>
      <c r="B544" s="6"/>
      <c r="C544" s="13" t="str">
        <f aca="false">IF(B544="","",IFERROR(INDEX(สินค้า!$B$2:$B$101,MATCH(B544,สินค้า!$A$2:$A$101,0)),"ไม่พบรหัส"))</f>
        <v/>
      </c>
      <c r="D544" s="14" t="str">
        <f aca="false">IF(B544="","",IFERROR(INDEX(สินค้า!$D$2:$D$101,MATCH(B544,สินค้า!$A$2:$A$101,0)),""))</f>
        <v/>
      </c>
      <c r="E544" s="6"/>
      <c r="F544" s="8"/>
      <c r="G544" s="8"/>
      <c r="H544" s="8"/>
      <c r="I544" s="15"/>
      <c r="J544" s="15"/>
      <c r="K544" s="10" t="str">
        <f aca="false">IF(J544&lt;&gt;"",J544,IF(I544="","",I544*IFERROR(INDEX(สินค้า!$G$2:$G$101,MATCH(B544,สินค้า!$A$2:$A$101,0)),0)))</f>
        <v/>
      </c>
      <c r="L544" s="16" t="str">
        <f aca="false">IF(OR(F544="",F544=0,G544=""),"",G544/F544)</f>
        <v/>
      </c>
      <c r="M544" s="16" t="str">
        <f aca="false">IF(OR(G544="",G544=0,H544=""),"",H544/G544)</f>
        <v/>
      </c>
    </row>
    <row r="545" customFormat="false" ht="15" hidden="false" customHeight="false" outlineLevel="0" collapsed="false">
      <c r="A545" s="12"/>
      <c r="B545" s="6"/>
      <c r="C545" s="13" t="str">
        <f aca="false">IF(B545="","",IFERROR(INDEX(สินค้า!$B$2:$B$101,MATCH(B545,สินค้า!$A$2:$A$101,0)),"ไม่พบรหัส"))</f>
        <v/>
      </c>
      <c r="D545" s="14" t="str">
        <f aca="false">IF(B545="","",IFERROR(INDEX(สินค้า!$D$2:$D$101,MATCH(B545,สินค้า!$A$2:$A$101,0)),""))</f>
        <v/>
      </c>
      <c r="E545" s="6"/>
      <c r="F545" s="8"/>
      <c r="G545" s="8"/>
      <c r="H545" s="8"/>
      <c r="I545" s="15"/>
      <c r="J545" s="15"/>
      <c r="K545" s="10" t="str">
        <f aca="false">IF(J545&lt;&gt;"",J545,IF(I545="","",I545*IFERROR(INDEX(สินค้า!$G$2:$G$101,MATCH(B545,สินค้า!$A$2:$A$101,0)),0)))</f>
        <v/>
      </c>
      <c r="L545" s="16" t="str">
        <f aca="false">IF(OR(F545="",F545=0,G545=""),"",G545/F545)</f>
        <v/>
      </c>
      <c r="M545" s="16" t="str">
        <f aca="false">IF(OR(G545="",G545=0,H545=""),"",H545/G545)</f>
        <v/>
      </c>
    </row>
    <row r="546" customFormat="false" ht="15" hidden="false" customHeight="false" outlineLevel="0" collapsed="false">
      <c r="A546" s="12"/>
      <c r="B546" s="6"/>
      <c r="C546" s="13" t="str">
        <f aca="false">IF(B546="","",IFERROR(INDEX(สินค้า!$B$2:$B$101,MATCH(B546,สินค้า!$A$2:$A$101,0)),"ไม่พบรหัส"))</f>
        <v/>
      </c>
      <c r="D546" s="14" t="str">
        <f aca="false">IF(B546="","",IFERROR(INDEX(สินค้า!$D$2:$D$101,MATCH(B546,สินค้า!$A$2:$A$101,0)),""))</f>
        <v/>
      </c>
      <c r="E546" s="6"/>
      <c r="F546" s="8"/>
      <c r="G546" s="8"/>
      <c r="H546" s="8"/>
      <c r="I546" s="15"/>
      <c r="J546" s="15"/>
      <c r="K546" s="10" t="str">
        <f aca="false">IF(J546&lt;&gt;"",J546,IF(I546="","",I546*IFERROR(INDEX(สินค้า!$G$2:$G$101,MATCH(B546,สินค้า!$A$2:$A$101,0)),0)))</f>
        <v/>
      </c>
      <c r="L546" s="16" t="str">
        <f aca="false">IF(OR(F546="",F546=0,G546=""),"",G546/F546)</f>
        <v/>
      </c>
      <c r="M546" s="16" t="str">
        <f aca="false">IF(OR(G546="",G546=0,H546=""),"",H546/G546)</f>
        <v/>
      </c>
    </row>
    <row r="547" customFormat="false" ht="15" hidden="false" customHeight="false" outlineLevel="0" collapsed="false">
      <c r="A547" s="12"/>
      <c r="B547" s="6"/>
      <c r="C547" s="13" t="str">
        <f aca="false">IF(B547="","",IFERROR(INDEX(สินค้า!$B$2:$B$101,MATCH(B547,สินค้า!$A$2:$A$101,0)),"ไม่พบรหัส"))</f>
        <v/>
      </c>
      <c r="D547" s="14" t="str">
        <f aca="false">IF(B547="","",IFERROR(INDEX(สินค้า!$D$2:$D$101,MATCH(B547,สินค้า!$A$2:$A$101,0)),""))</f>
        <v/>
      </c>
      <c r="E547" s="6"/>
      <c r="F547" s="8"/>
      <c r="G547" s="8"/>
      <c r="H547" s="8"/>
      <c r="I547" s="15"/>
      <c r="J547" s="15"/>
      <c r="K547" s="10" t="str">
        <f aca="false">IF(J547&lt;&gt;"",J547,IF(I547="","",I547*IFERROR(INDEX(สินค้า!$G$2:$G$101,MATCH(B547,สินค้า!$A$2:$A$101,0)),0)))</f>
        <v/>
      </c>
      <c r="L547" s="16" t="str">
        <f aca="false">IF(OR(F547="",F547=0,G547=""),"",G547/F547)</f>
        <v/>
      </c>
      <c r="M547" s="16" t="str">
        <f aca="false">IF(OR(G547="",G547=0,H547=""),"",H547/G547)</f>
        <v/>
      </c>
    </row>
    <row r="548" customFormat="false" ht="15" hidden="false" customHeight="false" outlineLevel="0" collapsed="false">
      <c r="A548" s="12"/>
      <c r="B548" s="6"/>
      <c r="C548" s="13" t="str">
        <f aca="false">IF(B548="","",IFERROR(INDEX(สินค้า!$B$2:$B$101,MATCH(B548,สินค้า!$A$2:$A$101,0)),"ไม่พบรหัส"))</f>
        <v/>
      </c>
      <c r="D548" s="14" t="str">
        <f aca="false">IF(B548="","",IFERROR(INDEX(สินค้า!$D$2:$D$101,MATCH(B548,สินค้า!$A$2:$A$101,0)),""))</f>
        <v/>
      </c>
      <c r="E548" s="6"/>
      <c r="F548" s="8"/>
      <c r="G548" s="8"/>
      <c r="H548" s="8"/>
      <c r="I548" s="15"/>
      <c r="J548" s="15"/>
      <c r="K548" s="10" t="str">
        <f aca="false">IF(J548&lt;&gt;"",J548,IF(I548="","",I548*IFERROR(INDEX(สินค้า!$G$2:$G$101,MATCH(B548,สินค้า!$A$2:$A$101,0)),0)))</f>
        <v/>
      </c>
      <c r="L548" s="16" t="str">
        <f aca="false">IF(OR(F548="",F548=0,G548=""),"",G548/F548)</f>
        <v/>
      </c>
      <c r="M548" s="16" t="str">
        <f aca="false">IF(OR(G548="",G548=0,H548=""),"",H548/G548)</f>
        <v/>
      </c>
    </row>
    <row r="549" customFormat="false" ht="15" hidden="false" customHeight="false" outlineLevel="0" collapsed="false">
      <c r="A549" s="12"/>
      <c r="B549" s="6"/>
      <c r="C549" s="13" t="str">
        <f aca="false">IF(B549="","",IFERROR(INDEX(สินค้า!$B$2:$B$101,MATCH(B549,สินค้า!$A$2:$A$101,0)),"ไม่พบรหัส"))</f>
        <v/>
      </c>
      <c r="D549" s="14" t="str">
        <f aca="false">IF(B549="","",IFERROR(INDEX(สินค้า!$D$2:$D$101,MATCH(B549,สินค้า!$A$2:$A$101,0)),""))</f>
        <v/>
      </c>
      <c r="E549" s="6"/>
      <c r="F549" s="8"/>
      <c r="G549" s="8"/>
      <c r="H549" s="8"/>
      <c r="I549" s="15"/>
      <c r="J549" s="15"/>
      <c r="K549" s="10" t="str">
        <f aca="false">IF(J549&lt;&gt;"",J549,IF(I549="","",I549*IFERROR(INDEX(สินค้า!$G$2:$G$101,MATCH(B549,สินค้า!$A$2:$A$101,0)),0)))</f>
        <v/>
      </c>
      <c r="L549" s="16" t="str">
        <f aca="false">IF(OR(F549="",F549=0,G549=""),"",G549/F549)</f>
        <v/>
      </c>
      <c r="M549" s="16" t="str">
        <f aca="false">IF(OR(G549="",G549=0,H549=""),"",H549/G549)</f>
        <v/>
      </c>
    </row>
    <row r="550" customFormat="false" ht="15" hidden="false" customHeight="false" outlineLevel="0" collapsed="false">
      <c r="A550" s="12"/>
      <c r="B550" s="6"/>
      <c r="C550" s="13" t="str">
        <f aca="false">IF(B550="","",IFERROR(INDEX(สินค้า!$B$2:$B$101,MATCH(B550,สินค้า!$A$2:$A$101,0)),"ไม่พบรหัส"))</f>
        <v/>
      </c>
      <c r="D550" s="14" t="str">
        <f aca="false">IF(B550="","",IFERROR(INDEX(สินค้า!$D$2:$D$101,MATCH(B550,สินค้า!$A$2:$A$101,0)),""))</f>
        <v/>
      </c>
      <c r="E550" s="6"/>
      <c r="F550" s="8"/>
      <c r="G550" s="8"/>
      <c r="H550" s="8"/>
      <c r="I550" s="15"/>
      <c r="J550" s="15"/>
      <c r="K550" s="10" t="str">
        <f aca="false">IF(J550&lt;&gt;"",J550,IF(I550="","",I550*IFERROR(INDEX(สินค้า!$G$2:$G$101,MATCH(B550,สินค้า!$A$2:$A$101,0)),0)))</f>
        <v/>
      </c>
      <c r="L550" s="16" t="str">
        <f aca="false">IF(OR(F550="",F550=0,G550=""),"",G550/F550)</f>
        <v/>
      </c>
      <c r="M550" s="16" t="str">
        <f aca="false">IF(OR(G550="",G550=0,H550=""),"",H550/G550)</f>
        <v/>
      </c>
    </row>
    <row r="551" customFormat="false" ht="15" hidden="false" customHeight="false" outlineLevel="0" collapsed="false">
      <c r="A551" s="12"/>
      <c r="B551" s="6"/>
      <c r="C551" s="13" t="str">
        <f aca="false">IF(B551="","",IFERROR(INDEX(สินค้า!$B$2:$B$101,MATCH(B551,สินค้า!$A$2:$A$101,0)),"ไม่พบรหัส"))</f>
        <v/>
      </c>
      <c r="D551" s="14" t="str">
        <f aca="false">IF(B551="","",IFERROR(INDEX(สินค้า!$D$2:$D$101,MATCH(B551,สินค้า!$A$2:$A$101,0)),""))</f>
        <v/>
      </c>
      <c r="E551" s="6"/>
      <c r="F551" s="8"/>
      <c r="G551" s="8"/>
      <c r="H551" s="8"/>
      <c r="I551" s="15"/>
      <c r="J551" s="15"/>
      <c r="K551" s="10" t="str">
        <f aca="false">IF(J551&lt;&gt;"",J551,IF(I551="","",I551*IFERROR(INDEX(สินค้า!$G$2:$G$101,MATCH(B551,สินค้า!$A$2:$A$101,0)),0)))</f>
        <v/>
      </c>
      <c r="L551" s="16" t="str">
        <f aca="false">IF(OR(F551="",F551=0,G551=""),"",G551/F551)</f>
        <v/>
      </c>
      <c r="M551" s="16" t="str">
        <f aca="false">IF(OR(G551="",G551=0,H551=""),"",H551/G551)</f>
        <v/>
      </c>
    </row>
    <row r="552" customFormat="false" ht="15" hidden="false" customHeight="false" outlineLevel="0" collapsed="false">
      <c r="A552" s="12"/>
      <c r="B552" s="6"/>
      <c r="C552" s="13" t="str">
        <f aca="false">IF(B552="","",IFERROR(INDEX(สินค้า!$B$2:$B$101,MATCH(B552,สินค้า!$A$2:$A$101,0)),"ไม่พบรหัส"))</f>
        <v/>
      </c>
      <c r="D552" s="14" t="str">
        <f aca="false">IF(B552="","",IFERROR(INDEX(สินค้า!$D$2:$D$101,MATCH(B552,สินค้า!$A$2:$A$101,0)),""))</f>
        <v/>
      </c>
      <c r="E552" s="6"/>
      <c r="F552" s="8"/>
      <c r="G552" s="8"/>
      <c r="H552" s="8"/>
      <c r="I552" s="15"/>
      <c r="J552" s="15"/>
      <c r="K552" s="10" t="str">
        <f aca="false">IF(J552&lt;&gt;"",J552,IF(I552="","",I552*IFERROR(INDEX(สินค้า!$G$2:$G$101,MATCH(B552,สินค้า!$A$2:$A$101,0)),0)))</f>
        <v/>
      </c>
      <c r="L552" s="16" t="str">
        <f aca="false">IF(OR(F552="",F552=0,G552=""),"",G552/F552)</f>
        <v/>
      </c>
      <c r="M552" s="16" t="str">
        <f aca="false">IF(OR(G552="",G552=0,H552=""),"",H552/G552)</f>
        <v/>
      </c>
    </row>
    <row r="553" customFormat="false" ht="15" hidden="false" customHeight="false" outlineLevel="0" collapsed="false">
      <c r="A553" s="12"/>
      <c r="B553" s="6"/>
      <c r="C553" s="13" t="str">
        <f aca="false">IF(B553="","",IFERROR(INDEX(สินค้า!$B$2:$B$101,MATCH(B553,สินค้า!$A$2:$A$101,0)),"ไม่พบรหัส"))</f>
        <v/>
      </c>
      <c r="D553" s="14" t="str">
        <f aca="false">IF(B553="","",IFERROR(INDEX(สินค้า!$D$2:$D$101,MATCH(B553,สินค้า!$A$2:$A$101,0)),""))</f>
        <v/>
      </c>
      <c r="E553" s="6"/>
      <c r="F553" s="8"/>
      <c r="G553" s="8"/>
      <c r="H553" s="8"/>
      <c r="I553" s="15"/>
      <c r="J553" s="15"/>
      <c r="K553" s="10" t="str">
        <f aca="false">IF(J553&lt;&gt;"",J553,IF(I553="","",I553*IFERROR(INDEX(สินค้า!$G$2:$G$101,MATCH(B553,สินค้า!$A$2:$A$101,0)),0)))</f>
        <v/>
      </c>
      <c r="L553" s="16" t="str">
        <f aca="false">IF(OR(F553="",F553=0,G553=""),"",G553/F553)</f>
        <v/>
      </c>
      <c r="M553" s="16" t="str">
        <f aca="false">IF(OR(G553="",G553=0,H553=""),"",H553/G553)</f>
        <v/>
      </c>
    </row>
    <row r="554" customFormat="false" ht="15" hidden="false" customHeight="false" outlineLevel="0" collapsed="false">
      <c r="A554" s="12"/>
      <c r="B554" s="6"/>
      <c r="C554" s="13" t="str">
        <f aca="false">IF(B554="","",IFERROR(INDEX(สินค้า!$B$2:$B$101,MATCH(B554,สินค้า!$A$2:$A$101,0)),"ไม่พบรหัส"))</f>
        <v/>
      </c>
      <c r="D554" s="14" t="str">
        <f aca="false">IF(B554="","",IFERROR(INDEX(สินค้า!$D$2:$D$101,MATCH(B554,สินค้า!$A$2:$A$101,0)),""))</f>
        <v/>
      </c>
      <c r="E554" s="6"/>
      <c r="F554" s="8"/>
      <c r="G554" s="8"/>
      <c r="H554" s="8"/>
      <c r="I554" s="15"/>
      <c r="J554" s="15"/>
      <c r="K554" s="10" t="str">
        <f aca="false">IF(J554&lt;&gt;"",J554,IF(I554="","",I554*IFERROR(INDEX(สินค้า!$G$2:$G$101,MATCH(B554,สินค้า!$A$2:$A$101,0)),0)))</f>
        <v/>
      </c>
      <c r="L554" s="16" t="str">
        <f aca="false">IF(OR(F554="",F554=0,G554=""),"",G554/F554)</f>
        <v/>
      </c>
      <c r="M554" s="16" t="str">
        <f aca="false">IF(OR(G554="",G554=0,H554=""),"",H554/G554)</f>
        <v/>
      </c>
    </row>
    <row r="555" customFormat="false" ht="15" hidden="false" customHeight="false" outlineLevel="0" collapsed="false">
      <c r="A555" s="12"/>
      <c r="B555" s="6"/>
      <c r="C555" s="13" t="str">
        <f aca="false">IF(B555="","",IFERROR(INDEX(สินค้า!$B$2:$B$101,MATCH(B555,สินค้า!$A$2:$A$101,0)),"ไม่พบรหัส"))</f>
        <v/>
      </c>
      <c r="D555" s="14" t="str">
        <f aca="false">IF(B555="","",IFERROR(INDEX(สินค้า!$D$2:$D$101,MATCH(B555,สินค้า!$A$2:$A$101,0)),""))</f>
        <v/>
      </c>
      <c r="E555" s="6"/>
      <c r="F555" s="8"/>
      <c r="G555" s="8"/>
      <c r="H555" s="8"/>
      <c r="I555" s="15"/>
      <c r="J555" s="15"/>
      <c r="K555" s="10" t="str">
        <f aca="false">IF(J555&lt;&gt;"",J555,IF(I555="","",I555*IFERROR(INDEX(สินค้า!$G$2:$G$101,MATCH(B555,สินค้า!$A$2:$A$101,0)),0)))</f>
        <v/>
      </c>
      <c r="L555" s="16" t="str">
        <f aca="false">IF(OR(F555="",F555=0,G555=""),"",G555/F555)</f>
        <v/>
      </c>
      <c r="M555" s="16" t="str">
        <f aca="false">IF(OR(G555="",G555=0,H555=""),"",H555/G555)</f>
        <v/>
      </c>
    </row>
    <row r="556" customFormat="false" ht="15" hidden="false" customHeight="false" outlineLevel="0" collapsed="false">
      <c r="A556" s="12"/>
      <c r="B556" s="6"/>
      <c r="C556" s="13" t="str">
        <f aca="false">IF(B556="","",IFERROR(INDEX(สินค้า!$B$2:$B$101,MATCH(B556,สินค้า!$A$2:$A$101,0)),"ไม่พบรหัส"))</f>
        <v/>
      </c>
      <c r="D556" s="14" t="str">
        <f aca="false">IF(B556="","",IFERROR(INDEX(สินค้า!$D$2:$D$101,MATCH(B556,สินค้า!$A$2:$A$101,0)),""))</f>
        <v/>
      </c>
      <c r="E556" s="6"/>
      <c r="F556" s="8"/>
      <c r="G556" s="8"/>
      <c r="H556" s="8"/>
      <c r="I556" s="15"/>
      <c r="J556" s="15"/>
      <c r="K556" s="10" t="str">
        <f aca="false">IF(J556&lt;&gt;"",J556,IF(I556="","",I556*IFERROR(INDEX(สินค้า!$G$2:$G$101,MATCH(B556,สินค้า!$A$2:$A$101,0)),0)))</f>
        <v/>
      </c>
      <c r="L556" s="16" t="str">
        <f aca="false">IF(OR(F556="",F556=0,G556=""),"",G556/F556)</f>
        <v/>
      </c>
      <c r="M556" s="16" t="str">
        <f aca="false">IF(OR(G556="",G556=0,H556=""),"",H556/G556)</f>
        <v/>
      </c>
    </row>
    <row r="557" customFormat="false" ht="15" hidden="false" customHeight="false" outlineLevel="0" collapsed="false">
      <c r="A557" s="12"/>
      <c r="B557" s="6"/>
      <c r="C557" s="13" t="str">
        <f aca="false">IF(B557="","",IFERROR(INDEX(สินค้า!$B$2:$B$101,MATCH(B557,สินค้า!$A$2:$A$101,0)),"ไม่พบรหัส"))</f>
        <v/>
      </c>
      <c r="D557" s="14" t="str">
        <f aca="false">IF(B557="","",IFERROR(INDEX(สินค้า!$D$2:$D$101,MATCH(B557,สินค้า!$A$2:$A$101,0)),""))</f>
        <v/>
      </c>
      <c r="E557" s="6"/>
      <c r="F557" s="8"/>
      <c r="G557" s="8"/>
      <c r="H557" s="8"/>
      <c r="I557" s="15"/>
      <c r="J557" s="15"/>
      <c r="K557" s="10" t="str">
        <f aca="false">IF(J557&lt;&gt;"",J557,IF(I557="","",I557*IFERROR(INDEX(สินค้า!$G$2:$G$101,MATCH(B557,สินค้า!$A$2:$A$101,0)),0)))</f>
        <v/>
      </c>
      <c r="L557" s="16" t="str">
        <f aca="false">IF(OR(F557="",F557=0,G557=""),"",G557/F557)</f>
        <v/>
      </c>
      <c r="M557" s="16" t="str">
        <f aca="false">IF(OR(G557="",G557=0,H557=""),"",H557/G557)</f>
        <v/>
      </c>
    </row>
    <row r="558" customFormat="false" ht="15" hidden="false" customHeight="false" outlineLevel="0" collapsed="false">
      <c r="A558" s="12"/>
      <c r="B558" s="6"/>
      <c r="C558" s="13" t="str">
        <f aca="false">IF(B558="","",IFERROR(INDEX(สินค้า!$B$2:$B$101,MATCH(B558,สินค้า!$A$2:$A$101,0)),"ไม่พบรหัส"))</f>
        <v/>
      </c>
      <c r="D558" s="14" t="str">
        <f aca="false">IF(B558="","",IFERROR(INDEX(สินค้า!$D$2:$D$101,MATCH(B558,สินค้า!$A$2:$A$101,0)),""))</f>
        <v/>
      </c>
      <c r="E558" s="6"/>
      <c r="F558" s="8"/>
      <c r="G558" s="8"/>
      <c r="H558" s="8"/>
      <c r="I558" s="15"/>
      <c r="J558" s="15"/>
      <c r="K558" s="10" t="str">
        <f aca="false">IF(J558&lt;&gt;"",J558,IF(I558="","",I558*IFERROR(INDEX(สินค้า!$G$2:$G$101,MATCH(B558,สินค้า!$A$2:$A$101,0)),0)))</f>
        <v/>
      </c>
      <c r="L558" s="16" t="str">
        <f aca="false">IF(OR(F558="",F558=0,G558=""),"",G558/F558)</f>
        <v/>
      </c>
      <c r="M558" s="16" t="str">
        <f aca="false">IF(OR(G558="",G558=0,H558=""),"",H558/G558)</f>
        <v/>
      </c>
    </row>
    <row r="559" customFormat="false" ht="15" hidden="false" customHeight="false" outlineLevel="0" collapsed="false">
      <c r="A559" s="12"/>
      <c r="B559" s="6"/>
      <c r="C559" s="13" t="str">
        <f aca="false">IF(B559="","",IFERROR(INDEX(สินค้า!$B$2:$B$101,MATCH(B559,สินค้า!$A$2:$A$101,0)),"ไม่พบรหัส"))</f>
        <v/>
      </c>
      <c r="D559" s="14" t="str">
        <f aca="false">IF(B559="","",IFERROR(INDEX(สินค้า!$D$2:$D$101,MATCH(B559,สินค้า!$A$2:$A$101,0)),""))</f>
        <v/>
      </c>
      <c r="E559" s="6"/>
      <c r="F559" s="8"/>
      <c r="G559" s="8"/>
      <c r="H559" s="8"/>
      <c r="I559" s="15"/>
      <c r="J559" s="15"/>
      <c r="K559" s="10" t="str">
        <f aca="false">IF(J559&lt;&gt;"",J559,IF(I559="","",I559*IFERROR(INDEX(สินค้า!$G$2:$G$101,MATCH(B559,สินค้า!$A$2:$A$101,0)),0)))</f>
        <v/>
      </c>
      <c r="L559" s="16" t="str">
        <f aca="false">IF(OR(F559="",F559=0,G559=""),"",G559/F559)</f>
        <v/>
      </c>
      <c r="M559" s="16" t="str">
        <f aca="false">IF(OR(G559="",G559=0,H559=""),"",H559/G559)</f>
        <v/>
      </c>
    </row>
    <row r="560" customFormat="false" ht="15" hidden="false" customHeight="false" outlineLevel="0" collapsed="false">
      <c r="A560" s="12"/>
      <c r="B560" s="6"/>
      <c r="C560" s="13" t="str">
        <f aca="false">IF(B560="","",IFERROR(INDEX(สินค้า!$B$2:$B$101,MATCH(B560,สินค้า!$A$2:$A$101,0)),"ไม่พบรหัส"))</f>
        <v/>
      </c>
      <c r="D560" s="14" t="str">
        <f aca="false">IF(B560="","",IFERROR(INDEX(สินค้า!$D$2:$D$101,MATCH(B560,สินค้า!$A$2:$A$101,0)),""))</f>
        <v/>
      </c>
      <c r="E560" s="6"/>
      <c r="F560" s="8"/>
      <c r="G560" s="8"/>
      <c r="H560" s="8"/>
      <c r="I560" s="15"/>
      <c r="J560" s="15"/>
      <c r="K560" s="10" t="str">
        <f aca="false">IF(J560&lt;&gt;"",J560,IF(I560="","",I560*IFERROR(INDEX(สินค้า!$G$2:$G$101,MATCH(B560,สินค้า!$A$2:$A$101,0)),0)))</f>
        <v/>
      </c>
      <c r="L560" s="16" t="str">
        <f aca="false">IF(OR(F560="",F560=0,G560=""),"",G560/F560)</f>
        <v/>
      </c>
      <c r="M560" s="16" t="str">
        <f aca="false">IF(OR(G560="",G560=0,H560=""),"",H560/G560)</f>
        <v/>
      </c>
    </row>
    <row r="561" customFormat="false" ht="15" hidden="false" customHeight="false" outlineLevel="0" collapsed="false">
      <c r="A561" s="12"/>
      <c r="B561" s="6"/>
      <c r="C561" s="13" t="str">
        <f aca="false">IF(B561="","",IFERROR(INDEX(สินค้า!$B$2:$B$101,MATCH(B561,สินค้า!$A$2:$A$101,0)),"ไม่พบรหัส"))</f>
        <v/>
      </c>
      <c r="D561" s="14" t="str">
        <f aca="false">IF(B561="","",IFERROR(INDEX(สินค้า!$D$2:$D$101,MATCH(B561,สินค้า!$A$2:$A$101,0)),""))</f>
        <v/>
      </c>
      <c r="E561" s="6"/>
      <c r="F561" s="8"/>
      <c r="G561" s="8"/>
      <c r="H561" s="8"/>
      <c r="I561" s="15"/>
      <c r="J561" s="15"/>
      <c r="K561" s="10" t="str">
        <f aca="false">IF(J561&lt;&gt;"",J561,IF(I561="","",I561*IFERROR(INDEX(สินค้า!$G$2:$G$101,MATCH(B561,สินค้า!$A$2:$A$101,0)),0)))</f>
        <v/>
      </c>
      <c r="L561" s="16" t="str">
        <f aca="false">IF(OR(F561="",F561=0,G561=""),"",G561/F561)</f>
        <v/>
      </c>
      <c r="M561" s="16" t="str">
        <f aca="false">IF(OR(G561="",G561=0,H561=""),"",H561/G561)</f>
        <v/>
      </c>
    </row>
    <row r="562" customFormat="false" ht="15" hidden="false" customHeight="false" outlineLevel="0" collapsed="false">
      <c r="A562" s="12"/>
      <c r="B562" s="6"/>
      <c r="C562" s="13" t="str">
        <f aca="false">IF(B562="","",IFERROR(INDEX(สินค้า!$B$2:$B$101,MATCH(B562,สินค้า!$A$2:$A$101,0)),"ไม่พบรหัส"))</f>
        <v/>
      </c>
      <c r="D562" s="14" t="str">
        <f aca="false">IF(B562="","",IFERROR(INDEX(สินค้า!$D$2:$D$101,MATCH(B562,สินค้า!$A$2:$A$101,0)),""))</f>
        <v/>
      </c>
      <c r="E562" s="6"/>
      <c r="F562" s="8"/>
      <c r="G562" s="8"/>
      <c r="H562" s="8"/>
      <c r="I562" s="15"/>
      <c r="J562" s="15"/>
      <c r="K562" s="10" t="str">
        <f aca="false">IF(J562&lt;&gt;"",J562,IF(I562="","",I562*IFERROR(INDEX(สินค้า!$G$2:$G$101,MATCH(B562,สินค้า!$A$2:$A$101,0)),0)))</f>
        <v/>
      </c>
      <c r="L562" s="16" t="str">
        <f aca="false">IF(OR(F562="",F562=0,G562=""),"",G562/F562)</f>
        <v/>
      </c>
      <c r="M562" s="16" t="str">
        <f aca="false">IF(OR(G562="",G562=0,H562=""),"",H562/G562)</f>
        <v/>
      </c>
    </row>
    <row r="563" customFormat="false" ht="15" hidden="false" customHeight="false" outlineLevel="0" collapsed="false">
      <c r="A563" s="12"/>
      <c r="B563" s="6"/>
      <c r="C563" s="13" t="str">
        <f aca="false">IF(B563="","",IFERROR(INDEX(สินค้า!$B$2:$B$101,MATCH(B563,สินค้า!$A$2:$A$101,0)),"ไม่พบรหัส"))</f>
        <v/>
      </c>
      <c r="D563" s="14" t="str">
        <f aca="false">IF(B563="","",IFERROR(INDEX(สินค้า!$D$2:$D$101,MATCH(B563,สินค้า!$A$2:$A$101,0)),""))</f>
        <v/>
      </c>
      <c r="E563" s="6"/>
      <c r="F563" s="8"/>
      <c r="G563" s="8"/>
      <c r="H563" s="8"/>
      <c r="I563" s="15"/>
      <c r="J563" s="15"/>
      <c r="K563" s="10" t="str">
        <f aca="false">IF(J563&lt;&gt;"",J563,IF(I563="","",I563*IFERROR(INDEX(สินค้า!$G$2:$G$101,MATCH(B563,สินค้า!$A$2:$A$101,0)),0)))</f>
        <v/>
      </c>
      <c r="L563" s="16" t="str">
        <f aca="false">IF(OR(F563="",F563=0,G563=""),"",G563/F563)</f>
        <v/>
      </c>
      <c r="M563" s="16" t="str">
        <f aca="false">IF(OR(G563="",G563=0,H563=""),"",H563/G563)</f>
        <v/>
      </c>
    </row>
    <row r="564" customFormat="false" ht="15" hidden="false" customHeight="false" outlineLevel="0" collapsed="false">
      <c r="A564" s="12"/>
      <c r="B564" s="6"/>
      <c r="C564" s="13" t="str">
        <f aca="false">IF(B564="","",IFERROR(INDEX(สินค้า!$B$2:$B$101,MATCH(B564,สินค้า!$A$2:$A$101,0)),"ไม่พบรหัส"))</f>
        <v/>
      </c>
      <c r="D564" s="14" t="str">
        <f aca="false">IF(B564="","",IFERROR(INDEX(สินค้า!$D$2:$D$101,MATCH(B564,สินค้า!$A$2:$A$101,0)),""))</f>
        <v/>
      </c>
      <c r="E564" s="6"/>
      <c r="F564" s="8"/>
      <c r="G564" s="8"/>
      <c r="H564" s="8"/>
      <c r="I564" s="15"/>
      <c r="J564" s="15"/>
      <c r="K564" s="10" t="str">
        <f aca="false">IF(J564&lt;&gt;"",J564,IF(I564="","",I564*IFERROR(INDEX(สินค้า!$G$2:$G$101,MATCH(B564,สินค้า!$A$2:$A$101,0)),0)))</f>
        <v/>
      </c>
      <c r="L564" s="16" t="str">
        <f aca="false">IF(OR(F564="",F564=0,G564=""),"",G564/F564)</f>
        <v/>
      </c>
      <c r="M564" s="16" t="str">
        <f aca="false">IF(OR(G564="",G564=0,H564=""),"",H564/G564)</f>
        <v/>
      </c>
    </row>
    <row r="565" customFormat="false" ht="15" hidden="false" customHeight="false" outlineLevel="0" collapsed="false">
      <c r="A565" s="12"/>
      <c r="B565" s="6"/>
      <c r="C565" s="13" t="str">
        <f aca="false">IF(B565="","",IFERROR(INDEX(สินค้า!$B$2:$B$101,MATCH(B565,สินค้า!$A$2:$A$101,0)),"ไม่พบรหัส"))</f>
        <v/>
      </c>
      <c r="D565" s="14" t="str">
        <f aca="false">IF(B565="","",IFERROR(INDEX(สินค้า!$D$2:$D$101,MATCH(B565,สินค้า!$A$2:$A$101,0)),""))</f>
        <v/>
      </c>
      <c r="E565" s="6"/>
      <c r="F565" s="8"/>
      <c r="G565" s="8"/>
      <c r="H565" s="8"/>
      <c r="I565" s="15"/>
      <c r="J565" s="15"/>
      <c r="K565" s="10" t="str">
        <f aca="false">IF(J565&lt;&gt;"",J565,IF(I565="","",I565*IFERROR(INDEX(สินค้า!$G$2:$G$101,MATCH(B565,สินค้า!$A$2:$A$101,0)),0)))</f>
        <v/>
      </c>
      <c r="L565" s="16" t="str">
        <f aca="false">IF(OR(F565="",F565=0,G565=""),"",G565/F565)</f>
        <v/>
      </c>
      <c r="M565" s="16" t="str">
        <f aca="false">IF(OR(G565="",G565=0,H565=""),"",H565/G565)</f>
        <v/>
      </c>
    </row>
    <row r="566" customFormat="false" ht="15" hidden="false" customHeight="false" outlineLevel="0" collapsed="false">
      <c r="A566" s="12"/>
      <c r="B566" s="6"/>
      <c r="C566" s="13" t="str">
        <f aca="false">IF(B566="","",IFERROR(INDEX(สินค้า!$B$2:$B$101,MATCH(B566,สินค้า!$A$2:$A$101,0)),"ไม่พบรหัส"))</f>
        <v/>
      </c>
      <c r="D566" s="14" t="str">
        <f aca="false">IF(B566="","",IFERROR(INDEX(สินค้า!$D$2:$D$101,MATCH(B566,สินค้า!$A$2:$A$101,0)),""))</f>
        <v/>
      </c>
      <c r="E566" s="6"/>
      <c r="F566" s="8"/>
      <c r="G566" s="8"/>
      <c r="H566" s="8"/>
      <c r="I566" s="15"/>
      <c r="J566" s="15"/>
      <c r="K566" s="10" t="str">
        <f aca="false">IF(J566&lt;&gt;"",J566,IF(I566="","",I566*IFERROR(INDEX(สินค้า!$G$2:$G$101,MATCH(B566,สินค้า!$A$2:$A$101,0)),0)))</f>
        <v/>
      </c>
      <c r="L566" s="16" t="str">
        <f aca="false">IF(OR(F566="",F566=0,G566=""),"",G566/F566)</f>
        <v/>
      </c>
      <c r="M566" s="16" t="str">
        <f aca="false">IF(OR(G566="",G566=0,H566=""),"",H566/G566)</f>
        <v/>
      </c>
    </row>
    <row r="567" customFormat="false" ht="15" hidden="false" customHeight="false" outlineLevel="0" collapsed="false">
      <c r="A567" s="12"/>
      <c r="B567" s="6"/>
      <c r="C567" s="13" t="str">
        <f aca="false">IF(B567="","",IFERROR(INDEX(สินค้า!$B$2:$B$101,MATCH(B567,สินค้า!$A$2:$A$101,0)),"ไม่พบรหัส"))</f>
        <v/>
      </c>
      <c r="D567" s="14" t="str">
        <f aca="false">IF(B567="","",IFERROR(INDEX(สินค้า!$D$2:$D$101,MATCH(B567,สินค้า!$A$2:$A$101,0)),""))</f>
        <v/>
      </c>
      <c r="E567" s="6"/>
      <c r="F567" s="8"/>
      <c r="G567" s="8"/>
      <c r="H567" s="8"/>
      <c r="I567" s="15"/>
      <c r="J567" s="15"/>
      <c r="K567" s="10" t="str">
        <f aca="false">IF(J567&lt;&gt;"",J567,IF(I567="","",I567*IFERROR(INDEX(สินค้า!$G$2:$G$101,MATCH(B567,สินค้า!$A$2:$A$101,0)),0)))</f>
        <v/>
      </c>
      <c r="L567" s="16" t="str">
        <f aca="false">IF(OR(F567="",F567=0,G567=""),"",G567/F567)</f>
        <v/>
      </c>
      <c r="M567" s="16" t="str">
        <f aca="false">IF(OR(G567="",G567=0,H567=""),"",H567/G567)</f>
        <v/>
      </c>
    </row>
    <row r="568" customFormat="false" ht="15" hidden="false" customHeight="false" outlineLevel="0" collapsed="false">
      <c r="A568" s="12"/>
      <c r="B568" s="6"/>
      <c r="C568" s="13" t="str">
        <f aca="false">IF(B568="","",IFERROR(INDEX(สินค้า!$B$2:$B$101,MATCH(B568,สินค้า!$A$2:$A$101,0)),"ไม่พบรหัส"))</f>
        <v/>
      </c>
      <c r="D568" s="14" t="str">
        <f aca="false">IF(B568="","",IFERROR(INDEX(สินค้า!$D$2:$D$101,MATCH(B568,สินค้า!$A$2:$A$101,0)),""))</f>
        <v/>
      </c>
      <c r="E568" s="6"/>
      <c r="F568" s="8"/>
      <c r="G568" s="8"/>
      <c r="H568" s="8"/>
      <c r="I568" s="15"/>
      <c r="J568" s="15"/>
      <c r="K568" s="10" t="str">
        <f aca="false">IF(J568&lt;&gt;"",J568,IF(I568="","",I568*IFERROR(INDEX(สินค้า!$G$2:$G$101,MATCH(B568,สินค้า!$A$2:$A$101,0)),0)))</f>
        <v/>
      </c>
      <c r="L568" s="16" t="str">
        <f aca="false">IF(OR(F568="",F568=0,G568=""),"",G568/F568)</f>
        <v/>
      </c>
      <c r="M568" s="16" t="str">
        <f aca="false">IF(OR(G568="",G568=0,H568=""),"",H568/G568)</f>
        <v/>
      </c>
    </row>
    <row r="569" customFormat="false" ht="15" hidden="false" customHeight="false" outlineLevel="0" collapsed="false">
      <c r="A569" s="12"/>
      <c r="B569" s="6"/>
      <c r="C569" s="13" t="str">
        <f aca="false">IF(B569="","",IFERROR(INDEX(สินค้า!$B$2:$B$101,MATCH(B569,สินค้า!$A$2:$A$101,0)),"ไม่พบรหัส"))</f>
        <v/>
      </c>
      <c r="D569" s="14" t="str">
        <f aca="false">IF(B569="","",IFERROR(INDEX(สินค้า!$D$2:$D$101,MATCH(B569,สินค้า!$A$2:$A$101,0)),""))</f>
        <v/>
      </c>
      <c r="E569" s="6"/>
      <c r="F569" s="8"/>
      <c r="G569" s="8"/>
      <c r="H569" s="8"/>
      <c r="I569" s="15"/>
      <c r="J569" s="15"/>
      <c r="K569" s="10" t="str">
        <f aca="false">IF(J569&lt;&gt;"",J569,IF(I569="","",I569*IFERROR(INDEX(สินค้า!$G$2:$G$101,MATCH(B569,สินค้า!$A$2:$A$101,0)),0)))</f>
        <v/>
      </c>
      <c r="L569" s="16" t="str">
        <f aca="false">IF(OR(F569="",F569=0,G569=""),"",G569/F569)</f>
        <v/>
      </c>
      <c r="M569" s="16" t="str">
        <f aca="false">IF(OR(G569="",G569=0,H569=""),"",H569/G569)</f>
        <v/>
      </c>
    </row>
    <row r="570" customFormat="false" ht="15" hidden="false" customHeight="false" outlineLevel="0" collapsed="false">
      <c r="A570" s="12"/>
      <c r="B570" s="6"/>
      <c r="C570" s="13" t="str">
        <f aca="false">IF(B570="","",IFERROR(INDEX(สินค้า!$B$2:$B$101,MATCH(B570,สินค้า!$A$2:$A$101,0)),"ไม่พบรหัส"))</f>
        <v/>
      </c>
      <c r="D570" s="14" t="str">
        <f aca="false">IF(B570="","",IFERROR(INDEX(สินค้า!$D$2:$D$101,MATCH(B570,สินค้า!$A$2:$A$101,0)),""))</f>
        <v/>
      </c>
      <c r="E570" s="6"/>
      <c r="F570" s="8"/>
      <c r="G570" s="8"/>
      <c r="H570" s="8"/>
      <c r="I570" s="15"/>
      <c r="J570" s="15"/>
      <c r="K570" s="10" t="str">
        <f aca="false">IF(J570&lt;&gt;"",J570,IF(I570="","",I570*IFERROR(INDEX(สินค้า!$G$2:$G$101,MATCH(B570,สินค้า!$A$2:$A$101,0)),0)))</f>
        <v/>
      </c>
      <c r="L570" s="16" t="str">
        <f aca="false">IF(OR(F570="",F570=0,G570=""),"",G570/F570)</f>
        <v/>
      </c>
      <c r="M570" s="16" t="str">
        <f aca="false">IF(OR(G570="",G570=0,H570=""),"",H570/G570)</f>
        <v/>
      </c>
    </row>
    <row r="571" customFormat="false" ht="15" hidden="false" customHeight="false" outlineLevel="0" collapsed="false">
      <c r="A571" s="12"/>
      <c r="B571" s="6"/>
      <c r="C571" s="13" t="str">
        <f aca="false">IF(B571="","",IFERROR(INDEX(สินค้า!$B$2:$B$101,MATCH(B571,สินค้า!$A$2:$A$101,0)),"ไม่พบรหัส"))</f>
        <v/>
      </c>
      <c r="D571" s="14" t="str">
        <f aca="false">IF(B571="","",IFERROR(INDEX(สินค้า!$D$2:$D$101,MATCH(B571,สินค้า!$A$2:$A$101,0)),""))</f>
        <v/>
      </c>
      <c r="E571" s="6"/>
      <c r="F571" s="8"/>
      <c r="G571" s="8"/>
      <c r="H571" s="8"/>
      <c r="I571" s="15"/>
      <c r="J571" s="15"/>
      <c r="K571" s="10" t="str">
        <f aca="false">IF(J571&lt;&gt;"",J571,IF(I571="","",I571*IFERROR(INDEX(สินค้า!$G$2:$G$101,MATCH(B571,สินค้า!$A$2:$A$101,0)),0)))</f>
        <v/>
      </c>
      <c r="L571" s="16" t="str">
        <f aca="false">IF(OR(F571="",F571=0,G571=""),"",G571/F571)</f>
        <v/>
      </c>
      <c r="M571" s="16" t="str">
        <f aca="false">IF(OR(G571="",G571=0,H571=""),"",H571/G571)</f>
        <v/>
      </c>
    </row>
    <row r="572" customFormat="false" ht="15" hidden="false" customHeight="false" outlineLevel="0" collapsed="false">
      <c r="A572" s="12"/>
      <c r="B572" s="6"/>
      <c r="C572" s="13" t="str">
        <f aca="false">IF(B572="","",IFERROR(INDEX(สินค้า!$B$2:$B$101,MATCH(B572,สินค้า!$A$2:$A$101,0)),"ไม่พบรหัส"))</f>
        <v/>
      </c>
      <c r="D572" s="14" t="str">
        <f aca="false">IF(B572="","",IFERROR(INDEX(สินค้า!$D$2:$D$101,MATCH(B572,สินค้า!$A$2:$A$101,0)),""))</f>
        <v/>
      </c>
      <c r="E572" s="6"/>
      <c r="F572" s="8"/>
      <c r="G572" s="8"/>
      <c r="H572" s="8"/>
      <c r="I572" s="15"/>
      <c r="J572" s="15"/>
      <c r="K572" s="10" t="str">
        <f aca="false">IF(J572&lt;&gt;"",J572,IF(I572="","",I572*IFERROR(INDEX(สินค้า!$G$2:$G$101,MATCH(B572,สินค้า!$A$2:$A$101,0)),0)))</f>
        <v/>
      </c>
      <c r="L572" s="16" t="str">
        <f aca="false">IF(OR(F572="",F572=0,G572=""),"",G572/F572)</f>
        <v/>
      </c>
      <c r="M572" s="16" t="str">
        <f aca="false">IF(OR(G572="",G572=0,H572=""),"",H572/G572)</f>
        <v/>
      </c>
    </row>
    <row r="573" customFormat="false" ht="15" hidden="false" customHeight="false" outlineLevel="0" collapsed="false">
      <c r="A573" s="12"/>
      <c r="B573" s="6"/>
      <c r="C573" s="13" t="str">
        <f aca="false">IF(B573="","",IFERROR(INDEX(สินค้า!$B$2:$B$101,MATCH(B573,สินค้า!$A$2:$A$101,0)),"ไม่พบรหัส"))</f>
        <v/>
      </c>
      <c r="D573" s="14" t="str">
        <f aca="false">IF(B573="","",IFERROR(INDEX(สินค้า!$D$2:$D$101,MATCH(B573,สินค้า!$A$2:$A$101,0)),""))</f>
        <v/>
      </c>
      <c r="E573" s="6"/>
      <c r="F573" s="8"/>
      <c r="G573" s="8"/>
      <c r="H573" s="8"/>
      <c r="I573" s="15"/>
      <c r="J573" s="15"/>
      <c r="K573" s="10" t="str">
        <f aca="false">IF(J573&lt;&gt;"",J573,IF(I573="","",I573*IFERROR(INDEX(สินค้า!$G$2:$G$101,MATCH(B573,สินค้า!$A$2:$A$101,0)),0)))</f>
        <v/>
      </c>
      <c r="L573" s="16" t="str">
        <f aca="false">IF(OR(F573="",F573=0,G573=""),"",G573/F573)</f>
        <v/>
      </c>
      <c r="M573" s="16" t="str">
        <f aca="false">IF(OR(G573="",G573=0,H573=""),"",H573/G573)</f>
        <v/>
      </c>
    </row>
    <row r="574" customFormat="false" ht="15" hidden="false" customHeight="false" outlineLevel="0" collapsed="false">
      <c r="A574" s="12"/>
      <c r="B574" s="6"/>
      <c r="C574" s="13" t="str">
        <f aca="false">IF(B574="","",IFERROR(INDEX(สินค้า!$B$2:$B$101,MATCH(B574,สินค้า!$A$2:$A$101,0)),"ไม่พบรหัส"))</f>
        <v/>
      </c>
      <c r="D574" s="14" t="str">
        <f aca="false">IF(B574="","",IFERROR(INDEX(สินค้า!$D$2:$D$101,MATCH(B574,สินค้า!$A$2:$A$101,0)),""))</f>
        <v/>
      </c>
      <c r="E574" s="6"/>
      <c r="F574" s="8"/>
      <c r="G574" s="8"/>
      <c r="H574" s="8"/>
      <c r="I574" s="15"/>
      <c r="J574" s="15"/>
      <c r="K574" s="10" t="str">
        <f aca="false">IF(J574&lt;&gt;"",J574,IF(I574="","",I574*IFERROR(INDEX(สินค้า!$G$2:$G$101,MATCH(B574,สินค้า!$A$2:$A$101,0)),0)))</f>
        <v/>
      </c>
      <c r="L574" s="16" t="str">
        <f aca="false">IF(OR(F574="",F574=0,G574=""),"",G574/F574)</f>
        <v/>
      </c>
      <c r="M574" s="16" t="str">
        <f aca="false">IF(OR(G574="",G574=0,H574=""),"",H574/G574)</f>
        <v/>
      </c>
    </row>
    <row r="575" customFormat="false" ht="15" hidden="false" customHeight="false" outlineLevel="0" collapsed="false">
      <c r="A575" s="12"/>
      <c r="B575" s="6"/>
      <c r="C575" s="13" t="str">
        <f aca="false">IF(B575="","",IFERROR(INDEX(สินค้า!$B$2:$B$101,MATCH(B575,สินค้า!$A$2:$A$101,0)),"ไม่พบรหัส"))</f>
        <v/>
      </c>
      <c r="D575" s="14" t="str">
        <f aca="false">IF(B575="","",IFERROR(INDEX(สินค้า!$D$2:$D$101,MATCH(B575,สินค้า!$A$2:$A$101,0)),""))</f>
        <v/>
      </c>
      <c r="E575" s="6"/>
      <c r="F575" s="8"/>
      <c r="G575" s="8"/>
      <c r="H575" s="8"/>
      <c r="I575" s="15"/>
      <c r="J575" s="15"/>
      <c r="K575" s="10" t="str">
        <f aca="false">IF(J575&lt;&gt;"",J575,IF(I575="","",I575*IFERROR(INDEX(สินค้า!$G$2:$G$101,MATCH(B575,สินค้า!$A$2:$A$101,0)),0)))</f>
        <v/>
      </c>
      <c r="L575" s="16" t="str">
        <f aca="false">IF(OR(F575="",F575=0,G575=""),"",G575/F575)</f>
        <v/>
      </c>
      <c r="M575" s="16" t="str">
        <f aca="false">IF(OR(G575="",G575=0,H575=""),"",H575/G575)</f>
        <v/>
      </c>
    </row>
    <row r="576" customFormat="false" ht="15" hidden="false" customHeight="false" outlineLevel="0" collapsed="false">
      <c r="A576" s="12"/>
      <c r="B576" s="6"/>
      <c r="C576" s="13" t="str">
        <f aca="false">IF(B576="","",IFERROR(INDEX(สินค้า!$B$2:$B$101,MATCH(B576,สินค้า!$A$2:$A$101,0)),"ไม่พบรหัส"))</f>
        <v/>
      </c>
      <c r="D576" s="14" t="str">
        <f aca="false">IF(B576="","",IFERROR(INDEX(สินค้า!$D$2:$D$101,MATCH(B576,สินค้า!$A$2:$A$101,0)),""))</f>
        <v/>
      </c>
      <c r="E576" s="6"/>
      <c r="F576" s="8"/>
      <c r="G576" s="8"/>
      <c r="H576" s="8"/>
      <c r="I576" s="15"/>
      <c r="J576" s="15"/>
      <c r="K576" s="10" t="str">
        <f aca="false">IF(J576&lt;&gt;"",J576,IF(I576="","",I576*IFERROR(INDEX(สินค้า!$G$2:$G$101,MATCH(B576,สินค้า!$A$2:$A$101,0)),0)))</f>
        <v/>
      </c>
      <c r="L576" s="16" t="str">
        <f aca="false">IF(OR(F576="",F576=0,G576=""),"",G576/F576)</f>
        <v/>
      </c>
      <c r="M576" s="16" t="str">
        <f aca="false">IF(OR(G576="",G576=0,H576=""),"",H576/G576)</f>
        <v/>
      </c>
    </row>
    <row r="577" customFormat="false" ht="15" hidden="false" customHeight="false" outlineLevel="0" collapsed="false">
      <c r="A577" s="12"/>
      <c r="B577" s="6"/>
      <c r="C577" s="13" t="str">
        <f aca="false">IF(B577="","",IFERROR(INDEX(สินค้า!$B$2:$B$101,MATCH(B577,สินค้า!$A$2:$A$101,0)),"ไม่พบรหัส"))</f>
        <v/>
      </c>
      <c r="D577" s="14" t="str">
        <f aca="false">IF(B577="","",IFERROR(INDEX(สินค้า!$D$2:$D$101,MATCH(B577,สินค้า!$A$2:$A$101,0)),""))</f>
        <v/>
      </c>
      <c r="E577" s="6"/>
      <c r="F577" s="8"/>
      <c r="G577" s="8"/>
      <c r="H577" s="8"/>
      <c r="I577" s="15"/>
      <c r="J577" s="15"/>
      <c r="K577" s="10" t="str">
        <f aca="false">IF(J577&lt;&gt;"",J577,IF(I577="","",I577*IFERROR(INDEX(สินค้า!$G$2:$G$101,MATCH(B577,สินค้า!$A$2:$A$101,0)),0)))</f>
        <v/>
      </c>
      <c r="L577" s="16" t="str">
        <f aca="false">IF(OR(F577="",F577=0,G577=""),"",G577/F577)</f>
        <v/>
      </c>
      <c r="M577" s="16" t="str">
        <f aca="false">IF(OR(G577="",G577=0,H577=""),"",H577/G577)</f>
        <v/>
      </c>
    </row>
    <row r="578" customFormat="false" ht="15" hidden="false" customHeight="false" outlineLevel="0" collapsed="false">
      <c r="A578" s="12"/>
      <c r="B578" s="6"/>
      <c r="C578" s="13" t="str">
        <f aca="false">IF(B578="","",IFERROR(INDEX(สินค้า!$B$2:$B$101,MATCH(B578,สินค้า!$A$2:$A$101,0)),"ไม่พบรหัส"))</f>
        <v/>
      </c>
      <c r="D578" s="14" t="str">
        <f aca="false">IF(B578="","",IFERROR(INDEX(สินค้า!$D$2:$D$101,MATCH(B578,สินค้า!$A$2:$A$101,0)),""))</f>
        <v/>
      </c>
      <c r="E578" s="6"/>
      <c r="F578" s="8"/>
      <c r="G578" s="8"/>
      <c r="H578" s="8"/>
      <c r="I578" s="15"/>
      <c r="J578" s="15"/>
      <c r="K578" s="10" t="str">
        <f aca="false">IF(J578&lt;&gt;"",J578,IF(I578="","",I578*IFERROR(INDEX(สินค้า!$G$2:$G$101,MATCH(B578,สินค้า!$A$2:$A$101,0)),0)))</f>
        <v/>
      </c>
      <c r="L578" s="16" t="str">
        <f aca="false">IF(OR(F578="",F578=0,G578=""),"",G578/F578)</f>
        <v/>
      </c>
      <c r="M578" s="16" t="str">
        <f aca="false">IF(OR(G578="",G578=0,H578=""),"",H578/G578)</f>
        <v/>
      </c>
    </row>
    <row r="579" customFormat="false" ht="15" hidden="false" customHeight="false" outlineLevel="0" collapsed="false">
      <c r="A579" s="12"/>
      <c r="B579" s="6"/>
      <c r="C579" s="13" t="str">
        <f aca="false">IF(B579="","",IFERROR(INDEX(สินค้า!$B$2:$B$101,MATCH(B579,สินค้า!$A$2:$A$101,0)),"ไม่พบรหัส"))</f>
        <v/>
      </c>
      <c r="D579" s="14" t="str">
        <f aca="false">IF(B579="","",IFERROR(INDEX(สินค้า!$D$2:$D$101,MATCH(B579,สินค้า!$A$2:$A$101,0)),""))</f>
        <v/>
      </c>
      <c r="E579" s="6"/>
      <c r="F579" s="8"/>
      <c r="G579" s="8"/>
      <c r="H579" s="8"/>
      <c r="I579" s="15"/>
      <c r="J579" s="15"/>
      <c r="K579" s="10" t="str">
        <f aca="false">IF(J579&lt;&gt;"",J579,IF(I579="","",I579*IFERROR(INDEX(สินค้า!$G$2:$G$101,MATCH(B579,สินค้า!$A$2:$A$101,0)),0)))</f>
        <v/>
      </c>
      <c r="L579" s="16" t="str">
        <f aca="false">IF(OR(F579="",F579=0,G579=""),"",G579/F579)</f>
        <v/>
      </c>
      <c r="M579" s="16" t="str">
        <f aca="false">IF(OR(G579="",G579=0,H579=""),"",H579/G579)</f>
        <v/>
      </c>
    </row>
    <row r="580" customFormat="false" ht="15" hidden="false" customHeight="false" outlineLevel="0" collapsed="false">
      <c r="A580" s="12"/>
      <c r="B580" s="6"/>
      <c r="C580" s="13" t="str">
        <f aca="false">IF(B580="","",IFERROR(INDEX(สินค้า!$B$2:$B$101,MATCH(B580,สินค้า!$A$2:$A$101,0)),"ไม่พบรหัส"))</f>
        <v/>
      </c>
      <c r="D580" s="14" t="str">
        <f aca="false">IF(B580="","",IFERROR(INDEX(สินค้า!$D$2:$D$101,MATCH(B580,สินค้า!$A$2:$A$101,0)),""))</f>
        <v/>
      </c>
      <c r="E580" s="6"/>
      <c r="F580" s="8"/>
      <c r="G580" s="8"/>
      <c r="H580" s="8"/>
      <c r="I580" s="15"/>
      <c r="J580" s="15"/>
      <c r="K580" s="10" t="str">
        <f aca="false">IF(J580&lt;&gt;"",J580,IF(I580="","",I580*IFERROR(INDEX(สินค้า!$G$2:$G$101,MATCH(B580,สินค้า!$A$2:$A$101,0)),0)))</f>
        <v/>
      </c>
      <c r="L580" s="16" t="str">
        <f aca="false">IF(OR(F580="",F580=0,G580=""),"",G580/F580)</f>
        <v/>
      </c>
      <c r="M580" s="16" t="str">
        <f aca="false">IF(OR(G580="",G580=0,H580=""),"",H580/G580)</f>
        <v/>
      </c>
    </row>
    <row r="581" customFormat="false" ht="15" hidden="false" customHeight="false" outlineLevel="0" collapsed="false">
      <c r="A581" s="12"/>
      <c r="B581" s="6"/>
      <c r="C581" s="13" t="str">
        <f aca="false">IF(B581="","",IFERROR(INDEX(สินค้า!$B$2:$B$101,MATCH(B581,สินค้า!$A$2:$A$101,0)),"ไม่พบรหัส"))</f>
        <v/>
      </c>
      <c r="D581" s="14" t="str">
        <f aca="false">IF(B581="","",IFERROR(INDEX(สินค้า!$D$2:$D$101,MATCH(B581,สินค้า!$A$2:$A$101,0)),""))</f>
        <v/>
      </c>
      <c r="E581" s="6"/>
      <c r="F581" s="8"/>
      <c r="G581" s="8"/>
      <c r="H581" s="8"/>
      <c r="I581" s="15"/>
      <c r="J581" s="15"/>
      <c r="K581" s="10" t="str">
        <f aca="false">IF(J581&lt;&gt;"",J581,IF(I581="","",I581*IFERROR(INDEX(สินค้า!$G$2:$G$101,MATCH(B581,สินค้า!$A$2:$A$101,0)),0)))</f>
        <v/>
      </c>
      <c r="L581" s="16" t="str">
        <f aca="false">IF(OR(F581="",F581=0,G581=""),"",G581/F581)</f>
        <v/>
      </c>
      <c r="M581" s="16" t="str">
        <f aca="false">IF(OR(G581="",G581=0,H581=""),"",H581/G581)</f>
        <v/>
      </c>
    </row>
    <row r="582" customFormat="false" ht="15" hidden="false" customHeight="false" outlineLevel="0" collapsed="false">
      <c r="A582" s="12"/>
      <c r="B582" s="6"/>
      <c r="C582" s="13" t="str">
        <f aca="false">IF(B582="","",IFERROR(INDEX(สินค้า!$B$2:$B$101,MATCH(B582,สินค้า!$A$2:$A$101,0)),"ไม่พบรหัส"))</f>
        <v/>
      </c>
      <c r="D582" s="14" t="str">
        <f aca="false">IF(B582="","",IFERROR(INDEX(สินค้า!$D$2:$D$101,MATCH(B582,สินค้า!$A$2:$A$101,0)),""))</f>
        <v/>
      </c>
      <c r="E582" s="6"/>
      <c r="F582" s="8"/>
      <c r="G582" s="8"/>
      <c r="H582" s="8"/>
      <c r="I582" s="15"/>
      <c r="J582" s="15"/>
      <c r="K582" s="10" t="str">
        <f aca="false">IF(J582&lt;&gt;"",J582,IF(I582="","",I582*IFERROR(INDEX(สินค้า!$G$2:$G$101,MATCH(B582,สินค้า!$A$2:$A$101,0)),0)))</f>
        <v/>
      </c>
      <c r="L582" s="16" t="str">
        <f aca="false">IF(OR(F582="",F582=0,G582=""),"",G582/F582)</f>
        <v/>
      </c>
      <c r="M582" s="16" t="str">
        <f aca="false">IF(OR(G582="",G582=0,H582=""),"",H582/G582)</f>
        <v/>
      </c>
    </row>
    <row r="583" customFormat="false" ht="15" hidden="false" customHeight="false" outlineLevel="0" collapsed="false">
      <c r="A583" s="12"/>
      <c r="B583" s="6"/>
      <c r="C583" s="13" t="str">
        <f aca="false">IF(B583="","",IFERROR(INDEX(สินค้า!$B$2:$B$101,MATCH(B583,สินค้า!$A$2:$A$101,0)),"ไม่พบรหัส"))</f>
        <v/>
      </c>
      <c r="D583" s="14" t="str">
        <f aca="false">IF(B583="","",IFERROR(INDEX(สินค้า!$D$2:$D$101,MATCH(B583,สินค้า!$A$2:$A$101,0)),""))</f>
        <v/>
      </c>
      <c r="E583" s="6"/>
      <c r="F583" s="8"/>
      <c r="G583" s="8"/>
      <c r="H583" s="8"/>
      <c r="I583" s="15"/>
      <c r="J583" s="15"/>
      <c r="K583" s="10" t="str">
        <f aca="false">IF(J583&lt;&gt;"",J583,IF(I583="","",I583*IFERROR(INDEX(สินค้า!$G$2:$G$101,MATCH(B583,สินค้า!$A$2:$A$101,0)),0)))</f>
        <v/>
      </c>
      <c r="L583" s="16" t="str">
        <f aca="false">IF(OR(F583="",F583=0,G583=""),"",G583/F583)</f>
        <v/>
      </c>
      <c r="M583" s="16" t="str">
        <f aca="false">IF(OR(G583="",G583=0,H583=""),"",H583/G583)</f>
        <v/>
      </c>
    </row>
    <row r="584" customFormat="false" ht="15" hidden="false" customHeight="false" outlineLevel="0" collapsed="false">
      <c r="A584" s="12"/>
      <c r="B584" s="6"/>
      <c r="C584" s="13" t="str">
        <f aca="false">IF(B584="","",IFERROR(INDEX(สินค้า!$B$2:$B$101,MATCH(B584,สินค้า!$A$2:$A$101,0)),"ไม่พบรหัส"))</f>
        <v/>
      </c>
      <c r="D584" s="14" t="str">
        <f aca="false">IF(B584="","",IFERROR(INDEX(สินค้า!$D$2:$D$101,MATCH(B584,สินค้า!$A$2:$A$101,0)),""))</f>
        <v/>
      </c>
      <c r="E584" s="6"/>
      <c r="F584" s="8"/>
      <c r="G584" s="8"/>
      <c r="H584" s="8"/>
      <c r="I584" s="15"/>
      <c r="J584" s="15"/>
      <c r="K584" s="10" t="str">
        <f aca="false">IF(J584&lt;&gt;"",J584,IF(I584="","",I584*IFERROR(INDEX(สินค้า!$G$2:$G$101,MATCH(B584,สินค้า!$A$2:$A$101,0)),0)))</f>
        <v/>
      </c>
      <c r="L584" s="16" t="str">
        <f aca="false">IF(OR(F584="",F584=0,G584=""),"",G584/F584)</f>
        <v/>
      </c>
      <c r="M584" s="16" t="str">
        <f aca="false">IF(OR(G584="",G584=0,H584=""),"",H584/G584)</f>
        <v/>
      </c>
    </row>
    <row r="585" customFormat="false" ht="15" hidden="false" customHeight="false" outlineLevel="0" collapsed="false">
      <c r="A585" s="12"/>
      <c r="B585" s="6"/>
      <c r="C585" s="13" t="str">
        <f aca="false">IF(B585="","",IFERROR(INDEX(สินค้า!$B$2:$B$101,MATCH(B585,สินค้า!$A$2:$A$101,0)),"ไม่พบรหัส"))</f>
        <v/>
      </c>
      <c r="D585" s="14" t="str">
        <f aca="false">IF(B585="","",IFERROR(INDEX(สินค้า!$D$2:$D$101,MATCH(B585,สินค้า!$A$2:$A$101,0)),""))</f>
        <v/>
      </c>
      <c r="E585" s="6"/>
      <c r="F585" s="8"/>
      <c r="G585" s="8"/>
      <c r="H585" s="8"/>
      <c r="I585" s="15"/>
      <c r="J585" s="15"/>
      <c r="K585" s="10" t="str">
        <f aca="false">IF(J585&lt;&gt;"",J585,IF(I585="","",I585*IFERROR(INDEX(สินค้า!$G$2:$G$101,MATCH(B585,สินค้า!$A$2:$A$101,0)),0)))</f>
        <v/>
      </c>
      <c r="L585" s="16" t="str">
        <f aca="false">IF(OR(F585="",F585=0,G585=""),"",G585/F585)</f>
        <v/>
      </c>
      <c r="M585" s="16" t="str">
        <f aca="false">IF(OR(G585="",G585=0,H585=""),"",H585/G585)</f>
        <v/>
      </c>
    </row>
    <row r="586" customFormat="false" ht="15" hidden="false" customHeight="false" outlineLevel="0" collapsed="false">
      <c r="A586" s="12"/>
      <c r="B586" s="6"/>
      <c r="C586" s="13" t="str">
        <f aca="false">IF(B586="","",IFERROR(INDEX(สินค้า!$B$2:$B$101,MATCH(B586,สินค้า!$A$2:$A$101,0)),"ไม่พบรหัส"))</f>
        <v/>
      </c>
      <c r="D586" s="14" t="str">
        <f aca="false">IF(B586="","",IFERROR(INDEX(สินค้า!$D$2:$D$101,MATCH(B586,สินค้า!$A$2:$A$101,0)),""))</f>
        <v/>
      </c>
      <c r="E586" s="6"/>
      <c r="F586" s="8"/>
      <c r="G586" s="8"/>
      <c r="H586" s="8"/>
      <c r="I586" s="15"/>
      <c r="J586" s="15"/>
      <c r="K586" s="10" t="str">
        <f aca="false">IF(J586&lt;&gt;"",J586,IF(I586="","",I586*IFERROR(INDEX(สินค้า!$G$2:$G$101,MATCH(B586,สินค้า!$A$2:$A$101,0)),0)))</f>
        <v/>
      </c>
      <c r="L586" s="16" t="str">
        <f aca="false">IF(OR(F586="",F586=0,G586=""),"",G586/F586)</f>
        <v/>
      </c>
      <c r="M586" s="16" t="str">
        <f aca="false">IF(OR(G586="",G586=0,H586=""),"",H586/G586)</f>
        <v/>
      </c>
    </row>
    <row r="587" customFormat="false" ht="15" hidden="false" customHeight="false" outlineLevel="0" collapsed="false">
      <c r="A587" s="12"/>
      <c r="B587" s="6"/>
      <c r="C587" s="13" t="str">
        <f aca="false">IF(B587="","",IFERROR(INDEX(สินค้า!$B$2:$B$101,MATCH(B587,สินค้า!$A$2:$A$101,0)),"ไม่พบรหัส"))</f>
        <v/>
      </c>
      <c r="D587" s="14" t="str">
        <f aca="false">IF(B587="","",IFERROR(INDEX(สินค้า!$D$2:$D$101,MATCH(B587,สินค้า!$A$2:$A$101,0)),""))</f>
        <v/>
      </c>
      <c r="E587" s="6"/>
      <c r="F587" s="8"/>
      <c r="G587" s="8"/>
      <c r="H587" s="8"/>
      <c r="I587" s="15"/>
      <c r="J587" s="15"/>
      <c r="K587" s="10" t="str">
        <f aca="false">IF(J587&lt;&gt;"",J587,IF(I587="","",I587*IFERROR(INDEX(สินค้า!$G$2:$G$101,MATCH(B587,สินค้า!$A$2:$A$101,0)),0)))</f>
        <v/>
      </c>
      <c r="L587" s="16" t="str">
        <f aca="false">IF(OR(F587="",F587=0,G587=""),"",G587/F587)</f>
        <v/>
      </c>
      <c r="M587" s="16" t="str">
        <f aca="false">IF(OR(G587="",G587=0,H587=""),"",H587/G587)</f>
        <v/>
      </c>
    </row>
    <row r="588" customFormat="false" ht="15" hidden="false" customHeight="false" outlineLevel="0" collapsed="false">
      <c r="A588" s="12"/>
      <c r="B588" s="6"/>
      <c r="C588" s="13" t="str">
        <f aca="false">IF(B588="","",IFERROR(INDEX(สินค้า!$B$2:$B$101,MATCH(B588,สินค้า!$A$2:$A$101,0)),"ไม่พบรหัส"))</f>
        <v/>
      </c>
      <c r="D588" s="14" t="str">
        <f aca="false">IF(B588="","",IFERROR(INDEX(สินค้า!$D$2:$D$101,MATCH(B588,สินค้า!$A$2:$A$101,0)),""))</f>
        <v/>
      </c>
      <c r="E588" s="6"/>
      <c r="F588" s="8"/>
      <c r="G588" s="8"/>
      <c r="H588" s="8"/>
      <c r="I588" s="15"/>
      <c r="J588" s="15"/>
      <c r="K588" s="10" t="str">
        <f aca="false">IF(J588&lt;&gt;"",J588,IF(I588="","",I588*IFERROR(INDEX(สินค้า!$G$2:$G$101,MATCH(B588,สินค้า!$A$2:$A$101,0)),0)))</f>
        <v/>
      </c>
      <c r="L588" s="16" t="str">
        <f aca="false">IF(OR(F588="",F588=0,G588=""),"",G588/F588)</f>
        <v/>
      </c>
      <c r="M588" s="16" t="str">
        <f aca="false">IF(OR(G588="",G588=0,H588=""),"",H588/G588)</f>
        <v/>
      </c>
    </row>
    <row r="589" customFormat="false" ht="15" hidden="false" customHeight="false" outlineLevel="0" collapsed="false">
      <c r="A589" s="12"/>
      <c r="B589" s="6"/>
      <c r="C589" s="13" t="str">
        <f aca="false">IF(B589="","",IFERROR(INDEX(สินค้า!$B$2:$B$101,MATCH(B589,สินค้า!$A$2:$A$101,0)),"ไม่พบรหัส"))</f>
        <v/>
      </c>
      <c r="D589" s="14" t="str">
        <f aca="false">IF(B589="","",IFERROR(INDEX(สินค้า!$D$2:$D$101,MATCH(B589,สินค้า!$A$2:$A$101,0)),""))</f>
        <v/>
      </c>
      <c r="E589" s="6"/>
      <c r="F589" s="8"/>
      <c r="G589" s="8"/>
      <c r="H589" s="8"/>
      <c r="I589" s="15"/>
      <c r="J589" s="15"/>
      <c r="K589" s="10" t="str">
        <f aca="false">IF(J589&lt;&gt;"",J589,IF(I589="","",I589*IFERROR(INDEX(สินค้า!$G$2:$G$101,MATCH(B589,สินค้า!$A$2:$A$101,0)),0)))</f>
        <v/>
      </c>
      <c r="L589" s="16" t="str">
        <f aca="false">IF(OR(F589="",F589=0,G589=""),"",G589/F589)</f>
        <v/>
      </c>
      <c r="M589" s="16" t="str">
        <f aca="false">IF(OR(G589="",G589=0,H589=""),"",H589/G589)</f>
        <v/>
      </c>
    </row>
    <row r="590" customFormat="false" ht="15" hidden="false" customHeight="false" outlineLevel="0" collapsed="false">
      <c r="A590" s="12"/>
      <c r="B590" s="6"/>
      <c r="C590" s="13" t="str">
        <f aca="false">IF(B590="","",IFERROR(INDEX(สินค้า!$B$2:$B$101,MATCH(B590,สินค้า!$A$2:$A$101,0)),"ไม่พบรหัส"))</f>
        <v/>
      </c>
      <c r="D590" s="14" t="str">
        <f aca="false">IF(B590="","",IFERROR(INDEX(สินค้า!$D$2:$D$101,MATCH(B590,สินค้า!$A$2:$A$101,0)),""))</f>
        <v/>
      </c>
      <c r="E590" s="6"/>
      <c r="F590" s="8"/>
      <c r="G590" s="8"/>
      <c r="H590" s="8"/>
      <c r="I590" s="15"/>
      <c r="J590" s="15"/>
      <c r="K590" s="10" t="str">
        <f aca="false">IF(J590&lt;&gt;"",J590,IF(I590="","",I590*IFERROR(INDEX(สินค้า!$G$2:$G$101,MATCH(B590,สินค้า!$A$2:$A$101,0)),0)))</f>
        <v/>
      </c>
      <c r="L590" s="16" t="str">
        <f aca="false">IF(OR(F590="",F590=0,G590=""),"",G590/F590)</f>
        <v/>
      </c>
      <c r="M590" s="16" t="str">
        <f aca="false">IF(OR(G590="",G590=0,H590=""),"",H590/G590)</f>
        <v/>
      </c>
    </row>
    <row r="591" customFormat="false" ht="15" hidden="false" customHeight="false" outlineLevel="0" collapsed="false">
      <c r="A591" s="12"/>
      <c r="B591" s="6"/>
      <c r="C591" s="13" t="str">
        <f aca="false">IF(B591="","",IFERROR(INDEX(สินค้า!$B$2:$B$101,MATCH(B591,สินค้า!$A$2:$A$101,0)),"ไม่พบรหัส"))</f>
        <v/>
      </c>
      <c r="D591" s="14" t="str">
        <f aca="false">IF(B591="","",IFERROR(INDEX(สินค้า!$D$2:$D$101,MATCH(B591,สินค้า!$A$2:$A$101,0)),""))</f>
        <v/>
      </c>
      <c r="E591" s="6"/>
      <c r="F591" s="8"/>
      <c r="G591" s="8"/>
      <c r="H591" s="8"/>
      <c r="I591" s="15"/>
      <c r="J591" s="15"/>
      <c r="K591" s="10" t="str">
        <f aca="false">IF(J591&lt;&gt;"",J591,IF(I591="","",I591*IFERROR(INDEX(สินค้า!$G$2:$G$101,MATCH(B591,สินค้า!$A$2:$A$101,0)),0)))</f>
        <v/>
      </c>
      <c r="L591" s="16" t="str">
        <f aca="false">IF(OR(F591="",F591=0,G591=""),"",G591/F591)</f>
        <v/>
      </c>
      <c r="M591" s="16" t="str">
        <f aca="false">IF(OR(G591="",G591=0,H591=""),"",H591/G591)</f>
        <v/>
      </c>
    </row>
    <row r="592" customFormat="false" ht="15" hidden="false" customHeight="false" outlineLevel="0" collapsed="false">
      <c r="A592" s="12"/>
      <c r="B592" s="6"/>
      <c r="C592" s="13" t="str">
        <f aca="false">IF(B592="","",IFERROR(INDEX(สินค้า!$B$2:$B$101,MATCH(B592,สินค้า!$A$2:$A$101,0)),"ไม่พบรหัส"))</f>
        <v/>
      </c>
      <c r="D592" s="14" t="str">
        <f aca="false">IF(B592="","",IFERROR(INDEX(สินค้า!$D$2:$D$101,MATCH(B592,สินค้า!$A$2:$A$101,0)),""))</f>
        <v/>
      </c>
      <c r="E592" s="6"/>
      <c r="F592" s="8"/>
      <c r="G592" s="8"/>
      <c r="H592" s="8"/>
      <c r="I592" s="15"/>
      <c r="J592" s="15"/>
      <c r="K592" s="10" t="str">
        <f aca="false">IF(J592&lt;&gt;"",J592,IF(I592="","",I592*IFERROR(INDEX(สินค้า!$G$2:$G$101,MATCH(B592,สินค้า!$A$2:$A$101,0)),0)))</f>
        <v/>
      </c>
      <c r="L592" s="16" t="str">
        <f aca="false">IF(OR(F592="",F592=0,G592=""),"",G592/F592)</f>
        <v/>
      </c>
      <c r="M592" s="16" t="str">
        <f aca="false">IF(OR(G592="",G592=0,H592=""),"",H592/G592)</f>
        <v/>
      </c>
    </row>
    <row r="593" customFormat="false" ht="15" hidden="false" customHeight="false" outlineLevel="0" collapsed="false">
      <c r="A593" s="12"/>
      <c r="B593" s="6"/>
      <c r="C593" s="13" t="str">
        <f aca="false">IF(B593="","",IFERROR(INDEX(สินค้า!$B$2:$B$101,MATCH(B593,สินค้า!$A$2:$A$101,0)),"ไม่พบรหัส"))</f>
        <v/>
      </c>
      <c r="D593" s="14" t="str">
        <f aca="false">IF(B593="","",IFERROR(INDEX(สินค้า!$D$2:$D$101,MATCH(B593,สินค้า!$A$2:$A$101,0)),""))</f>
        <v/>
      </c>
      <c r="E593" s="6"/>
      <c r="F593" s="8"/>
      <c r="G593" s="8"/>
      <c r="H593" s="8"/>
      <c r="I593" s="15"/>
      <c r="J593" s="15"/>
      <c r="K593" s="10" t="str">
        <f aca="false">IF(J593&lt;&gt;"",J593,IF(I593="","",I593*IFERROR(INDEX(สินค้า!$G$2:$G$101,MATCH(B593,สินค้า!$A$2:$A$101,0)),0)))</f>
        <v/>
      </c>
      <c r="L593" s="16" t="str">
        <f aca="false">IF(OR(F593="",F593=0,G593=""),"",G593/F593)</f>
        <v/>
      </c>
      <c r="M593" s="16" t="str">
        <f aca="false">IF(OR(G593="",G593=0,H593=""),"",H593/G593)</f>
        <v/>
      </c>
    </row>
    <row r="594" customFormat="false" ht="15" hidden="false" customHeight="false" outlineLevel="0" collapsed="false">
      <c r="A594" s="12"/>
      <c r="B594" s="6"/>
      <c r="C594" s="13" t="str">
        <f aca="false">IF(B594="","",IFERROR(INDEX(สินค้า!$B$2:$B$101,MATCH(B594,สินค้า!$A$2:$A$101,0)),"ไม่พบรหัส"))</f>
        <v/>
      </c>
      <c r="D594" s="14" t="str">
        <f aca="false">IF(B594="","",IFERROR(INDEX(สินค้า!$D$2:$D$101,MATCH(B594,สินค้า!$A$2:$A$101,0)),""))</f>
        <v/>
      </c>
      <c r="E594" s="6"/>
      <c r="F594" s="8"/>
      <c r="G594" s="8"/>
      <c r="H594" s="8"/>
      <c r="I594" s="15"/>
      <c r="J594" s="15"/>
      <c r="K594" s="10" t="str">
        <f aca="false">IF(J594&lt;&gt;"",J594,IF(I594="","",I594*IFERROR(INDEX(สินค้า!$G$2:$G$101,MATCH(B594,สินค้า!$A$2:$A$101,0)),0)))</f>
        <v/>
      </c>
      <c r="L594" s="16" t="str">
        <f aca="false">IF(OR(F594="",F594=0,G594=""),"",G594/F594)</f>
        <v/>
      </c>
      <c r="M594" s="16" t="str">
        <f aca="false">IF(OR(G594="",G594=0,H594=""),"",H594/G594)</f>
        <v/>
      </c>
    </row>
    <row r="595" customFormat="false" ht="15" hidden="false" customHeight="false" outlineLevel="0" collapsed="false">
      <c r="A595" s="12"/>
      <c r="B595" s="6"/>
      <c r="C595" s="13" t="str">
        <f aca="false">IF(B595="","",IFERROR(INDEX(สินค้า!$B$2:$B$101,MATCH(B595,สินค้า!$A$2:$A$101,0)),"ไม่พบรหัส"))</f>
        <v/>
      </c>
      <c r="D595" s="14" t="str">
        <f aca="false">IF(B595="","",IFERROR(INDEX(สินค้า!$D$2:$D$101,MATCH(B595,สินค้า!$A$2:$A$101,0)),""))</f>
        <v/>
      </c>
      <c r="E595" s="6"/>
      <c r="F595" s="8"/>
      <c r="G595" s="8"/>
      <c r="H595" s="8"/>
      <c r="I595" s="15"/>
      <c r="J595" s="15"/>
      <c r="K595" s="10" t="str">
        <f aca="false">IF(J595&lt;&gt;"",J595,IF(I595="","",I595*IFERROR(INDEX(สินค้า!$G$2:$G$101,MATCH(B595,สินค้า!$A$2:$A$101,0)),0)))</f>
        <v/>
      </c>
      <c r="L595" s="16" t="str">
        <f aca="false">IF(OR(F595="",F595=0,G595=""),"",G595/F595)</f>
        <v/>
      </c>
      <c r="M595" s="16" t="str">
        <f aca="false">IF(OR(G595="",G595=0,H595=""),"",H595/G595)</f>
        <v/>
      </c>
    </row>
    <row r="596" customFormat="false" ht="15" hidden="false" customHeight="false" outlineLevel="0" collapsed="false">
      <c r="A596" s="12"/>
      <c r="B596" s="6"/>
      <c r="C596" s="13" t="str">
        <f aca="false">IF(B596="","",IFERROR(INDEX(สินค้า!$B$2:$B$101,MATCH(B596,สินค้า!$A$2:$A$101,0)),"ไม่พบรหัส"))</f>
        <v/>
      </c>
      <c r="D596" s="14" t="str">
        <f aca="false">IF(B596="","",IFERROR(INDEX(สินค้า!$D$2:$D$101,MATCH(B596,สินค้า!$A$2:$A$101,0)),""))</f>
        <v/>
      </c>
      <c r="E596" s="6"/>
      <c r="F596" s="8"/>
      <c r="G596" s="8"/>
      <c r="H596" s="8"/>
      <c r="I596" s="15"/>
      <c r="J596" s="15"/>
      <c r="K596" s="10" t="str">
        <f aca="false">IF(J596&lt;&gt;"",J596,IF(I596="","",I596*IFERROR(INDEX(สินค้า!$G$2:$G$101,MATCH(B596,สินค้า!$A$2:$A$101,0)),0)))</f>
        <v/>
      </c>
      <c r="L596" s="16" t="str">
        <f aca="false">IF(OR(F596="",F596=0,G596=""),"",G596/F596)</f>
        <v/>
      </c>
      <c r="M596" s="16" t="str">
        <f aca="false">IF(OR(G596="",G596=0,H596=""),"",H596/G596)</f>
        <v/>
      </c>
    </row>
    <row r="597" customFormat="false" ht="15" hidden="false" customHeight="false" outlineLevel="0" collapsed="false">
      <c r="A597" s="12"/>
      <c r="B597" s="6"/>
      <c r="C597" s="13" t="str">
        <f aca="false">IF(B597="","",IFERROR(INDEX(สินค้า!$B$2:$B$101,MATCH(B597,สินค้า!$A$2:$A$101,0)),"ไม่พบรหัส"))</f>
        <v/>
      </c>
      <c r="D597" s="14" t="str">
        <f aca="false">IF(B597="","",IFERROR(INDEX(สินค้า!$D$2:$D$101,MATCH(B597,สินค้า!$A$2:$A$101,0)),""))</f>
        <v/>
      </c>
      <c r="E597" s="6"/>
      <c r="F597" s="8"/>
      <c r="G597" s="8"/>
      <c r="H597" s="8"/>
      <c r="I597" s="15"/>
      <c r="J597" s="15"/>
      <c r="K597" s="10" t="str">
        <f aca="false">IF(J597&lt;&gt;"",J597,IF(I597="","",I597*IFERROR(INDEX(สินค้า!$G$2:$G$101,MATCH(B597,สินค้า!$A$2:$A$101,0)),0)))</f>
        <v/>
      </c>
      <c r="L597" s="16" t="str">
        <f aca="false">IF(OR(F597="",F597=0,G597=""),"",G597/F597)</f>
        <v/>
      </c>
      <c r="M597" s="16" t="str">
        <f aca="false">IF(OR(G597="",G597=0,H597=""),"",H597/G597)</f>
        <v/>
      </c>
    </row>
    <row r="598" customFormat="false" ht="15" hidden="false" customHeight="false" outlineLevel="0" collapsed="false">
      <c r="A598" s="12"/>
      <c r="B598" s="6"/>
      <c r="C598" s="13" t="str">
        <f aca="false">IF(B598="","",IFERROR(INDEX(สินค้า!$B$2:$B$101,MATCH(B598,สินค้า!$A$2:$A$101,0)),"ไม่พบรหัส"))</f>
        <v/>
      </c>
      <c r="D598" s="14" t="str">
        <f aca="false">IF(B598="","",IFERROR(INDEX(สินค้า!$D$2:$D$101,MATCH(B598,สินค้า!$A$2:$A$101,0)),""))</f>
        <v/>
      </c>
      <c r="E598" s="6"/>
      <c r="F598" s="8"/>
      <c r="G598" s="8"/>
      <c r="H598" s="8"/>
      <c r="I598" s="15"/>
      <c r="J598" s="15"/>
      <c r="K598" s="10" t="str">
        <f aca="false">IF(J598&lt;&gt;"",J598,IF(I598="","",I598*IFERROR(INDEX(สินค้า!$G$2:$G$101,MATCH(B598,สินค้า!$A$2:$A$101,0)),0)))</f>
        <v/>
      </c>
      <c r="L598" s="16" t="str">
        <f aca="false">IF(OR(F598="",F598=0,G598=""),"",G598/F598)</f>
        <v/>
      </c>
      <c r="M598" s="16" t="str">
        <f aca="false">IF(OR(G598="",G598=0,H598=""),"",H598/G598)</f>
        <v/>
      </c>
    </row>
    <row r="599" customFormat="false" ht="15" hidden="false" customHeight="false" outlineLevel="0" collapsed="false">
      <c r="A599" s="12"/>
      <c r="B599" s="6"/>
      <c r="C599" s="13" t="str">
        <f aca="false">IF(B599="","",IFERROR(INDEX(สินค้า!$B$2:$B$101,MATCH(B599,สินค้า!$A$2:$A$101,0)),"ไม่พบรหัส"))</f>
        <v/>
      </c>
      <c r="D599" s="14" t="str">
        <f aca="false">IF(B599="","",IFERROR(INDEX(สินค้า!$D$2:$D$101,MATCH(B599,สินค้า!$A$2:$A$101,0)),""))</f>
        <v/>
      </c>
      <c r="E599" s="6"/>
      <c r="F599" s="8"/>
      <c r="G599" s="8"/>
      <c r="H599" s="8"/>
      <c r="I599" s="15"/>
      <c r="J599" s="15"/>
      <c r="K599" s="10" t="str">
        <f aca="false">IF(J599&lt;&gt;"",J599,IF(I599="","",I599*IFERROR(INDEX(สินค้า!$G$2:$G$101,MATCH(B599,สินค้า!$A$2:$A$101,0)),0)))</f>
        <v/>
      </c>
      <c r="L599" s="16" t="str">
        <f aca="false">IF(OR(F599="",F599=0,G599=""),"",G599/F599)</f>
        <v/>
      </c>
      <c r="M599" s="16" t="str">
        <f aca="false">IF(OR(G599="",G599=0,H599=""),"",H599/G599)</f>
        <v/>
      </c>
    </row>
    <row r="600" customFormat="false" ht="15" hidden="false" customHeight="false" outlineLevel="0" collapsed="false">
      <c r="A600" s="12"/>
      <c r="B600" s="6"/>
      <c r="C600" s="13" t="str">
        <f aca="false">IF(B600="","",IFERROR(INDEX(สินค้า!$B$2:$B$101,MATCH(B600,สินค้า!$A$2:$A$101,0)),"ไม่พบรหัส"))</f>
        <v/>
      </c>
      <c r="D600" s="14" t="str">
        <f aca="false">IF(B600="","",IFERROR(INDEX(สินค้า!$D$2:$D$101,MATCH(B600,สินค้า!$A$2:$A$101,0)),""))</f>
        <v/>
      </c>
      <c r="E600" s="6"/>
      <c r="F600" s="8"/>
      <c r="G600" s="8"/>
      <c r="H600" s="8"/>
      <c r="I600" s="15"/>
      <c r="J600" s="15"/>
      <c r="K600" s="10" t="str">
        <f aca="false">IF(J600&lt;&gt;"",J600,IF(I600="","",I600*IFERROR(INDEX(สินค้า!$G$2:$G$101,MATCH(B600,สินค้า!$A$2:$A$101,0)),0)))</f>
        <v/>
      </c>
      <c r="L600" s="16" t="str">
        <f aca="false">IF(OR(F600="",F600=0,G600=""),"",G600/F600)</f>
        <v/>
      </c>
      <c r="M600" s="16" t="str">
        <f aca="false">IF(OR(G600="",G600=0,H600=""),"",H600/G600)</f>
        <v/>
      </c>
    </row>
    <row r="601" customFormat="false" ht="15" hidden="false" customHeight="false" outlineLevel="0" collapsed="false">
      <c r="A601" s="12"/>
      <c r="B601" s="6"/>
      <c r="C601" s="13" t="str">
        <f aca="false">IF(B601="","",IFERROR(INDEX(สินค้า!$B$2:$B$101,MATCH(B601,สินค้า!$A$2:$A$101,0)),"ไม่พบรหัส"))</f>
        <v/>
      </c>
      <c r="D601" s="14" t="str">
        <f aca="false">IF(B601="","",IFERROR(INDEX(สินค้า!$D$2:$D$101,MATCH(B601,สินค้า!$A$2:$A$101,0)),""))</f>
        <v/>
      </c>
      <c r="E601" s="6"/>
      <c r="F601" s="8"/>
      <c r="G601" s="8"/>
      <c r="H601" s="8"/>
      <c r="I601" s="15"/>
      <c r="J601" s="15"/>
      <c r="K601" s="10" t="str">
        <f aca="false">IF(J601&lt;&gt;"",J601,IF(I601="","",I601*IFERROR(INDEX(สินค้า!$G$2:$G$101,MATCH(B601,สินค้า!$A$2:$A$101,0)),0)))</f>
        <v/>
      </c>
      <c r="L601" s="16" t="str">
        <f aca="false">IF(OR(F601="",F601=0,G601=""),"",G601/F601)</f>
        <v/>
      </c>
      <c r="M601" s="16" t="str">
        <f aca="false">IF(OR(G601="",G601=0,H601=""),"",H601/G601)</f>
        <v/>
      </c>
    </row>
    <row r="602" customFormat="false" ht="15" hidden="false" customHeight="false" outlineLevel="0" collapsed="false">
      <c r="A602" s="12"/>
      <c r="B602" s="6"/>
      <c r="C602" s="13" t="str">
        <f aca="false">IF(B602="","",IFERROR(INDEX(สินค้า!$B$2:$B$101,MATCH(B602,สินค้า!$A$2:$A$101,0)),"ไม่พบรหัส"))</f>
        <v/>
      </c>
      <c r="D602" s="14" t="str">
        <f aca="false">IF(B602="","",IFERROR(INDEX(สินค้า!$D$2:$D$101,MATCH(B602,สินค้า!$A$2:$A$101,0)),""))</f>
        <v/>
      </c>
      <c r="E602" s="6"/>
      <c r="F602" s="8"/>
      <c r="G602" s="8"/>
      <c r="H602" s="8"/>
      <c r="I602" s="15"/>
      <c r="J602" s="15"/>
      <c r="K602" s="10" t="str">
        <f aca="false">IF(J602&lt;&gt;"",J602,IF(I602="","",I602*IFERROR(INDEX(สินค้า!$G$2:$G$101,MATCH(B602,สินค้า!$A$2:$A$101,0)),0)))</f>
        <v/>
      </c>
      <c r="L602" s="16" t="str">
        <f aca="false">IF(OR(F602="",F602=0,G602=""),"",G602/F602)</f>
        <v/>
      </c>
      <c r="M602" s="16" t="str">
        <f aca="false">IF(OR(G602="",G602=0,H602=""),"",H602/G602)</f>
        <v/>
      </c>
    </row>
    <row r="603" customFormat="false" ht="15" hidden="false" customHeight="false" outlineLevel="0" collapsed="false">
      <c r="A603" s="12"/>
      <c r="B603" s="6"/>
      <c r="C603" s="13" t="str">
        <f aca="false">IF(B603="","",IFERROR(INDEX(สินค้า!$B$2:$B$101,MATCH(B603,สินค้า!$A$2:$A$101,0)),"ไม่พบรหัส"))</f>
        <v/>
      </c>
      <c r="D603" s="14" t="str">
        <f aca="false">IF(B603="","",IFERROR(INDEX(สินค้า!$D$2:$D$101,MATCH(B603,สินค้า!$A$2:$A$101,0)),""))</f>
        <v/>
      </c>
      <c r="E603" s="6"/>
      <c r="F603" s="8"/>
      <c r="G603" s="8"/>
      <c r="H603" s="8"/>
      <c r="I603" s="15"/>
      <c r="J603" s="15"/>
      <c r="K603" s="10" t="str">
        <f aca="false">IF(J603&lt;&gt;"",J603,IF(I603="","",I603*IFERROR(INDEX(สินค้า!$G$2:$G$101,MATCH(B603,สินค้า!$A$2:$A$101,0)),0)))</f>
        <v/>
      </c>
      <c r="L603" s="16" t="str">
        <f aca="false">IF(OR(F603="",F603=0,G603=""),"",G603/F603)</f>
        <v/>
      </c>
      <c r="M603" s="16" t="str">
        <f aca="false">IF(OR(G603="",G603=0,H603=""),"",H603/G603)</f>
        <v/>
      </c>
    </row>
    <row r="604" customFormat="false" ht="15" hidden="false" customHeight="false" outlineLevel="0" collapsed="false">
      <c r="A604" s="12"/>
      <c r="B604" s="6"/>
      <c r="C604" s="13" t="str">
        <f aca="false">IF(B604="","",IFERROR(INDEX(สินค้า!$B$2:$B$101,MATCH(B604,สินค้า!$A$2:$A$101,0)),"ไม่พบรหัส"))</f>
        <v/>
      </c>
      <c r="D604" s="14" t="str">
        <f aca="false">IF(B604="","",IFERROR(INDEX(สินค้า!$D$2:$D$101,MATCH(B604,สินค้า!$A$2:$A$101,0)),""))</f>
        <v/>
      </c>
      <c r="E604" s="6"/>
      <c r="F604" s="8"/>
      <c r="G604" s="8"/>
      <c r="H604" s="8"/>
      <c r="I604" s="15"/>
      <c r="J604" s="15"/>
      <c r="K604" s="10" t="str">
        <f aca="false">IF(J604&lt;&gt;"",J604,IF(I604="","",I604*IFERROR(INDEX(สินค้า!$G$2:$G$101,MATCH(B604,สินค้า!$A$2:$A$101,0)),0)))</f>
        <v/>
      </c>
      <c r="L604" s="16" t="str">
        <f aca="false">IF(OR(F604="",F604=0,G604=""),"",G604/F604)</f>
        <v/>
      </c>
      <c r="M604" s="16" t="str">
        <f aca="false">IF(OR(G604="",G604=0,H604=""),"",H604/G604)</f>
        <v/>
      </c>
    </row>
    <row r="605" customFormat="false" ht="15" hidden="false" customHeight="false" outlineLevel="0" collapsed="false">
      <c r="A605" s="12"/>
      <c r="B605" s="6"/>
      <c r="C605" s="13" t="str">
        <f aca="false">IF(B605="","",IFERROR(INDEX(สินค้า!$B$2:$B$101,MATCH(B605,สินค้า!$A$2:$A$101,0)),"ไม่พบรหัส"))</f>
        <v/>
      </c>
      <c r="D605" s="14" t="str">
        <f aca="false">IF(B605="","",IFERROR(INDEX(สินค้า!$D$2:$D$101,MATCH(B605,สินค้า!$A$2:$A$101,0)),""))</f>
        <v/>
      </c>
      <c r="E605" s="6"/>
      <c r="F605" s="8"/>
      <c r="G605" s="8"/>
      <c r="H605" s="8"/>
      <c r="I605" s="15"/>
      <c r="J605" s="15"/>
      <c r="K605" s="10" t="str">
        <f aca="false">IF(J605&lt;&gt;"",J605,IF(I605="","",I605*IFERROR(INDEX(สินค้า!$G$2:$G$101,MATCH(B605,สินค้า!$A$2:$A$101,0)),0)))</f>
        <v/>
      </c>
      <c r="L605" s="16" t="str">
        <f aca="false">IF(OR(F605="",F605=0,G605=""),"",G605/F605)</f>
        <v/>
      </c>
      <c r="M605" s="16" t="str">
        <f aca="false">IF(OR(G605="",G605=0,H605=""),"",H605/G605)</f>
        <v/>
      </c>
    </row>
    <row r="606" customFormat="false" ht="15" hidden="false" customHeight="false" outlineLevel="0" collapsed="false">
      <c r="A606" s="12"/>
      <c r="B606" s="6"/>
      <c r="C606" s="13" t="str">
        <f aca="false">IF(B606="","",IFERROR(INDEX(สินค้า!$B$2:$B$101,MATCH(B606,สินค้า!$A$2:$A$101,0)),"ไม่พบรหัส"))</f>
        <v/>
      </c>
      <c r="D606" s="14" t="str">
        <f aca="false">IF(B606="","",IFERROR(INDEX(สินค้า!$D$2:$D$101,MATCH(B606,สินค้า!$A$2:$A$101,0)),""))</f>
        <v/>
      </c>
      <c r="E606" s="6"/>
      <c r="F606" s="8"/>
      <c r="G606" s="8"/>
      <c r="H606" s="8"/>
      <c r="I606" s="15"/>
      <c r="J606" s="15"/>
      <c r="K606" s="10" t="str">
        <f aca="false">IF(J606&lt;&gt;"",J606,IF(I606="","",I606*IFERROR(INDEX(สินค้า!$G$2:$G$101,MATCH(B606,สินค้า!$A$2:$A$101,0)),0)))</f>
        <v/>
      </c>
      <c r="L606" s="16" t="str">
        <f aca="false">IF(OR(F606="",F606=0,G606=""),"",G606/F606)</f>
        <v/>
      </c>
      <c r="M606" s="16" t="str">
        <f aca="false">IF(OR(G606="",G606=0,H606=""),"",H606/G606)</f>
        <v/>
      </c>
    </row>
    <row r="607" customFormat="false" ht="15" hidden="false" customHeight="false" outlineLevel="0" collapsed="false">
      <c r="A607" s="12"/>
      <c r="B607" s="6"/>
      <c r="C607" s="13" t="str">
        <f aca="false">IF(B607="","",IFERROR(INDEX(สินค้า!$B$2:$B$101,MATCH(B607,สินค้า!$A$2:$A$101,0)),"ไม่พบรหัส"))</f>
        <v/>
      </c>
      <c r="D607" s="14" t="str">
        <f aca="false">IF(B607="","",IFERROR(INDEX(สินค้า!$D$2:$D$101,MATCH(B607,สินค้า!$A$2:$A$101,0)),""))</f>
        <v/>
      </c>
      <c r="E607" s="6"/>
      <c r="F607" s="8"/>
      <c r="G607" s="8"/>
      <c r="H607" s="8"/>
      <c r="I607" s="15"/>
      <c r="J607" s="15"/>
      <c r="K607" s="10" t="str">
        <f aca="false">IF(J607&lt;&gt;"",J607,IF(I607="","",I607*IFERROR(INDEX(สินค้า!$G$2:$G$101,MATCH(B607,สินค้า!$A$2:$A$101,0)),0)))</f>
        <v/>
      </c>
      <c r="L607" s="16" t="str">
        <f aca="false">IF(OR(F607="",F607=0,G607=""),"",G607/F607)</f>
        <v/>
      </c>
      <c r="M607" s="16" t="str">
        <f aca="false">IF(OR(G607="",G607=0,H607=""),"",H607/G607)</f>
        <v/>
      </c>
    </row>
    <row r="608" customFormat="false" ht="15" hidden="false" customHeight="false" outlineLevel="0" collapsed="false">
      <c r="A608" s="12"/>
      <c r="B608" s="6"/>
      <c r="C608" s="13" t="str">
        <f aca="false">IF(B608="","",IFERROR(INDEX(สินค้า!$B$2:$B$101,MATCH(B608,สินค้า!$A$2:$A$101,0)),"ไม่พบรหัส"))</f>
        <v/>
      </c>
      <c r="D608" s="14" t="str">
        <f aca="false">IF(B608="","",IFERROR(INDEX(สินค้า!$D$2:$D$101,MATCH(B608,สินค้า!$A$2:$A$101,0)),""))</f>
        <v/>
      </c>
      <c r="E608" s="6"/>
      <c r="F608" s="8"/>
      <c r="G608" s="8"/>
      <c r="H608" s="8"/>
      <c r="I608" s="15"/>
      <c r="J608" s="15"/>
      <c r="K608" s="10" t="str">
        <f aca="false">IF(J608&lt;&gt;"",J608,IF(I608="","",I608*IFERROR(INDEX(สินค้า!$G$2:$G$101,MATCH(B608,สินค้า!$A$2:$A$101,0)),0)))</f>
        <v/>
      </c>
      <c r="L608" s="16" t="str">
        <f aca="false">IF(OR(F608="",F608=0,G608=""),"",G608/F608)</f>
        <v/>
      </c>
      <c r="M608" s="16" t="str">
        <f aca="false">IF(OR(G608="",G608=0,H608=""),"",H608/G608)</f>
        <v/>
      </c>
    </row>
    <row r="609" customFormat="false" ht="15" hidden="false" customHeight="false" outlineLevel="0" collapsed="false">
      <c r="A609" s="12"/>
      <c r="B609" s="6"/>
      <c r="C609" s="13" t="str">
        <f aca="false">IF(B609="","",IFERROR(INDEX(สินค้า!$B$2:$B$101,MATCH(B609,สินค้า!$A$2:$A$101,0)),"ไม่พบรหัส"))</f>
        <v/>
      </c>
      <c r="D609" s="14" t="str">
        <f aca="false">IF(B609="","",IFERROR(INDEX(สินค้า!$D$2:$D$101,MATCH(B609,สินค้า!$A$2:$A$101,0)),""))</f>
        <v/>
      </c>
      <c r="E609" s="6"/>
      <c r="F609" s="8"/>
      <c r="G609" s="8"/>
      <c r="H609" s="8"/>
      <c r="I609" s="15"/>
      <c r="J609" s="15"/>
      <c r="K609" s="10" t="str">
        <f aca="false">IF(J609&lt;&gt;"",J609,IF(I609="","",I609*IFERROR(INDEX(สินค้า!$G$2:$G$101,MATCH(B609,สินค้า!$A$2:$A$101,0)),0)))</f>
        <v/>
      </c>
      <c r="L609" s="16" t="str">
        <f aca="false">IF(OR(F609="",F609=0,G609=""),"",G609/F609)</f>
        <v/>
      </c>
      <c r="M609" s="16" t="str">
        <f aca="false">IF(OR(G609="",G609=0,H609=""),"",H609/G609)</f>
        <v/>
      </c>
    </row>
    <row r="610" customFormat="false" ht="15" hidden="false" customHeight="false" outlineLevel="0" collapsed="false">
      <c r="A610" s="12"/>
      <c r="B610" s="6"/>
      <c r="C610" s="13" t="str">
        <f aca="false">IF(B610="","",IFERROR(INDEX(สินค้า!$B$2:$B$101,MATCH(B610,สินค้า!$A$2:$A$101,0)),"ไม่พบรหัส"))</f>
        <v/>
      </c>
      <c r="D610" s="14" t="str">
        <f aca="false">IF(B610="","",IFERROR(INDEX(สินค้า!$D$2:$D$101,MATCH(B610,สินค้า!$A$2:$A$101,0)),""))</f>
        <v/>
      </c>
      <c r="E610" s="6"/>
      <c r="F610" s="8"/>
      <c r="G610" s="8"/>
      <c r="H610" s="8"/>
      <c r="I610" s="15"/>
      <c r="J610" s="15"/>
      <c r="K610" s="10" t="str">
        <f aca="false">IF(J610&lt;&gt;"",J610,IF(I610="","",I610*IFERROR(INDEX(สินค้า!$G$2:$G$101,MATCH(B610,สินค้า!$A$2:$A$101,0)),0)))</f>
        <v/>
      </c>
      <c r="L610" s="16" t="str">
        <f aca="false">IF(OR(F610="",F610=0,G610=""),"",G610/F610)</f>
        <v/>
      </c>
      <c r="M610" s="16" t="str">
        <f aca="false">IF(OR(G610="",G610=0,H610=""),"",H610/G610)</f>
        <v/>
      </c>
    </row>
    <row r="611" customFormat="false" ht="15" hidden="false" customHeight="false" outlineLevel="0" collapsed="false">
      <c r="A611" s="12"/>
      <c r="B611" s="6"/>
      <c r="C611" s="13" t="str">
        <f aca="false">IF(B611="","",IFERROR(INDEX(สินค้า!$B$2:$B$101,MATCH(B611,สินค้า!$A$2:$A$101,0)),"ไม่พบรหัส"))</f>
        <v/>
      </c>
      <c r="D611" s="14" t="str">
        <f aca="false">IF(B611="","",IFERROR(INDEX(สินค้า!$D$2:$D$101,MATCH(B611,สินค้า!$A$2:$A$101,0)),""))</f>
        <v/>
      </c>
      <c r="E611" s="6"/>
      <c r="F611" s="8"/>
      <c r="G611" s="8"/>
      <c r="H611" s="8"/>
      <c r="I611" s="15"/>
      <c r="J611" s="15"/>
      <c r="K611" s="10" t="str">
        <f aca="false">IF(J611&lt;&gt;"",J611,IF(I611="","",I611*IFERROR(INDEX(สินค้า!$G$2:$G$101,MATCH(B611,สินค้า!$A$2:$A$101,0)),0)))</f>
        <v/>
      </c>
      <c r="L611" s="16" t="str">
        <f aca="false">IF(OR(F611="",F611=0,G611=""),"",G611/F611)</f>
        <v/>
      </c>
      <c r="M611" s="16" t="str">
        <f aca="false">IF(OR(G611="",G611=0,H611=""),"",H611/G611)</f>
        <v/>
      </c>
    </row>
    <row r="612" customFormat="false" ht="15" hidden="false" customHeight="false" outlineLevel="0" collapsed="false">
      <c r="A612" s="12"/>
      <c r="B612" s="6"/>
      <c r="C612" s="13" t="str">
        <f aca="false">IF(B612="","",IFERROR(INDEX(สินค้า!$B$2:$B$101,MATCH(B612,สินค้า!$A$2:$A$101,0)),"ไม่พบรหัส"))</f>
        <v/>
      </c>
      <c r="D612" s="14" t="str">
        <f aca="false">IF(B612="","",IFERROR(INDEX(สินค้า!$D$2:$D$101,MATCH(B612,สินค้า!$A$2:$A$101,0)),""))</f>
        <v/>
      </c>
      <c r="E612" s="6"/>
      <c r="F612" s="8"/>
      <c r="G612" s="8"/>
      <c r="H612" s="8"/>
      <c r="I612" s="15"/>
      <c r="J612" s="15"/>
      <c r="K612" s="10" t="str">
        <f aca="false">IF(J612&lt;&gt;"",J612,IF(I612="","",I612*IFERROR(INDEX(สินค้า!$G$2:$G$101,MATCH(B612,สินค้า!$A$2:$A$101,0)),0)))</f>
        <v/>
      </c>
      <c r="L612" s="16" t="str">
        <f aca="false">IF(OR(F612="",F612=0,G612=""),"",G612/F612)</f>
        <v/>
      </c>
      <c r="M612" s="16" t="str">
        <f aca="false">IF(OR(G612="",G612=0,H612=""),"",H612/G612)</f>
        <v/>
      </c>
    </row>
    <row r="613" customFormat="false" ht="15" hidden="false" customHeight="false" outlineLevel="0" collapsed="false">
      <c r="A613" s="12"/>
      <c r="B613" s="6"/>
      <c r="C613" s="13" t="str">
        <f aca="false">IF(B613="","",IFERROR(INDEX(สินค้า!$B$2:$B$101,MATCH(B613,สินค้า!$A$2:$A$101,0)),"ไม่พบรหัส"))</f>
        <v/>
      </c>
      <c r="D613" s="14" t="str">
        <f aca="false">IF(B613="","",IFERROR(INDEX(สินค้า!$D$2:$D$101,MATCH(B613,สินค้า!$A$2:$A$101,0)),""))</f>
        <v/>
      </c>
      <c r="E613" s="6"/>
      <c r="F613" s="8"/>
      <c r="G613" s="8"/>
      <c r="H613" s="8"/>
      <c r="I613" s="15"/>
      <c r="J613" s="15"/>
      <c r="K613" s="10" t="str">
        <f aca="false">IF(J613&lt;&gt;"",J613,IF(I613="","",I613*IFERROR(INDEX(สินค้า!$G$2:$G$101,MATCH(B613,สินค้า!$A$2:$A$101,0)),0)))</f>
        <v/>
      </c>
      <c r="L613" s="16" t="str">
        <f aca="false">IF(OR(F613="",F613=0,G613=""),"",G613/F613)</f>
        <v/>
      </c>
      <c r="M613" s="16" t="str">
        <f aca="false">IF(OR(G613="",G613=0,H613=""),"",H613/G613)</f>
        <v/>
      </c>
    </row>
    <row r="614" customFormat="false" ht="15" hidden="false" customHeight="false" outlineLevel="0" collapsed="false">
      <c r="A614" s="12"/>
      <c r="B614" s="6"/>
      <c r="C614" s="13" t="str">
        <f aca="false">IF(B614="","",IFERROR(INDEX(สินค้า!$B$2:$B$101,MATCH(B614,สินค้า!$A$2:$A$101,0)),"ไม่พบรหัส"))</f>
        <v/>
      </c>
      <c r="D614" s="14" t="str">
        <f aca="false">IF(B614="","",IFERROR(INDEX(สินค้า!$D$2:$D$101,MATCH(B614,สินค้า!$A$2:$A$101,0)),""))</f>
        <v/>
      </c>
      <c r="E614" s="6"/>
      <c r="F614" s="8"/>
      <c r="G614" s="8"/>
      <c r="H614" s="8"/>
      <c r="I614" s="15"/>
      <c r="J614" s="15"/>
      <c r="K614" s="10" t="str">
        <f aca="false">IF(J614&lt;&gt;"",J614,IF(I614="","",I614*IFERROR(INDEX(สินค้า!$G$2:$G$101,MATCH(B614,สินค้า!$A$2:$A$101,0)),0)))</f>
        <v/>
      </c>
      <c r="L614" s="16" t="str">
        <f aca="false">IF(OR(F614="",F614=0,G614=""),"",G614/F614)</f>
        <v/>
      </c>
      <c r="M614" s="16" t="str">
        <f aca="false">IF(OR(G614="",G614=0,H614=""),"",H614/G614)</f>
        <v/>
      </c>
    </row>
    <row r="615" customFormat="false" ht="15" hidden="false" customHeight="false" outlineLevel="0" collapsed="false">
      <c r="A615" s="12"/>
      <c r="B615" s="6"/>
      <c r="C615" s="13" t="str">
        <f aca="false">IF(B615="","",IFERROR(INDEX(สินค้า!$B$2:$B$101,MATCH(B615,สินค้า!$A$2:$A$101,0)),"ไม่พบรหัส"))</f>
        <v/>
      </c>
      <c r="D615" s="14" t="str">
        <f aca="false">IF(B615="","",IFERROR(INDEX(สินค้า!$D$2:$D$101,MATCH(B615,สินค้า!$A$2:$A$101,0)),""))</f>
        <v/>
      </c>
      <c r="E615" s="6"/>
      <c r="F615" s="8"/>
      <c r="G615" s="8"/>
      <c r="H615" s="8"/>
      <c r="I615" s="15"/>
      <c r="J615" s="15"/>
      <c r="K615" s="10" t="str">
        <f aca="false">IF(J615&lt;&gt;"",J615,IF(I615="","",I615*IFERROR(INDEX(สินค้า!$G$2:$G$101,MATCH(B615,สินค้า!$A$2:$A$101,0)),0)))</f>
        <v/>
      </c>
      <c r="L615" s="16" t="str">
        <f aca="false">IF(OR(F615="",F615=0,G615=""),"",G615/F615)</f>
        <v/>
      </c>
      <c r="M615" s="16" t="str">
        <f aca="false">IF(OR(G615="",G615=0,H615=""),"",H615/G615)</f>
        <v/>
      </c>
    </row>
    <row r="616" customFormat="false" ht="15" hidden="false" customHeight="false" outlineLevel="0" collapsed="false">
      <c r="A616" s="12"/>
      <c r="B616" s="6"/>
      <c r="C616" s="13" t="str">
        <f aca="false">IF(B616="","",IFERROR(INDEX(สินค้า!$B$2:$B$101,MATCH(B616,สินค้า!$A$2:$A$101,0)),"ไม่พบรหัส"))</f>
        <v/>
      </c>
      <c r="D616" s="14" t="str">
        <f aca="false">IF(B616="","",IFERROR(INDEX(สินค้า!$D$2:$D$101,MATCH(B616,สินค้า!$A$2:$A$101,0)),""))</f>
        <v/>
      </c>
      <c r="E616" s="6"/>
      <c r="F616" s="8"/>
      <c r="G616" s="8"/>
      <c r="H616" s="8"/>
      <c r="I616" s="15"/>
      <c r="J616" s="15"/>
      <c r="K616" s="10" t="str">
        <f aca="false">IF(J616&lt;&gt;"",J616,IF(I616="","",I616*IFERROR(INDEX(สินค้า!$G$2:$G$101,MATCH(B616,สินค้า!$A$2:$A$101,0)),0)))</f>
        <v/>
      </c>
      <c r="L616" s="16" t="str">
        <f aca="false">IF(OR(F616="",F616=0,G616=""),"",G616/F616)</f>
        <v/>
      </c>
      <c r="M616" s="16" t="str">
        <f aca="false">IF(OR(G616="",G616=0,H616=""),"",H616/G616)</f>
        <v/>
      </c>
    </row>
    <row r="617" customFormat="false" ht="15" hidden="false" customHeight="false" outlineLevel="0" collapsed="false">
      <c r="A617" s="12"/>
      <c r="B617" s="6"/>
      <c r="C617" s="13" t="str">
        <f aca="false">IF(B617="","",IFERROR(INDEX(สินค้า!$B$2:$B$101,MATCH(B617,สินค้า!$A$2:$A$101,0)),"ไม่พบรหัส"))</f>
        <v/>
      </c>
      <c r="D617" s="14" t="str">
        <f aca="false">IF(B617="","",IFERROR(INDEX(สินค้า!$D$2:$D$101,MATCH(B617,สินค้า!$A$2:$A$101,0)),""))</f>
        <v/>
      </c>
      <c r="E617" s="6"/>
      <c r="F617" s="8"/>
      <c r="G617" s="8"/>
      <c r="H617" s="8"/>
      <c r="I617" s="15"/>
      <c r="J617" s="15"/>
      <c r="K617" s="10" t="str">
        <f aca="false">IF(J617&lt;&gt;"",J617,IF(I617="","",I617*IFERROR(INDEX(สินค้า!$G$2:$G$101,MATCH(B617,สินค้า!$A$2:$A$101,0)),0)))</f>
        <v/>
      </c>
      <c r="L617" s="16" t="str">
        <f aca="false">IF(OR(F617="",F617=0,G617=""),"",G617/F617)</f>
        <v/>
      </c>
      <c r="M617" s="16" t="str">
        <f aca="false">IF(OR(G617="",G617=0,H617=""),"",H617/G617)</f>
        <v/>
      </c>
    </row>
    <row r="618" customFormat="false" ht="15" hidden="false" customHeight="false" outlineLevel="0" collapsed="false">
      <c r="A618" s="12"/>
      <c r="B618" s="6"/>
      <c r="C618" s="13" t="str">
        <f aca="false">IF(B618="","",IFERROR(INDEX(สินค้า!$B$2:$B$101,MATCH(B618,สินค้า!$A$2:$A$101,0)),"ไม่พบรหัส"))</f>
        <v/>
      </c>
      <c r="D618" s="14" t="str">
        <f aca="false">IF(B618="","",IFERROR(INDEX(สินค้า!$D$2:$D$101,MATCH(B618,สินค้า!$A$2:$A$101,0)),""))</f>
        <v/>
      </c>
      <c r="E618" s="6"/>
      <c r="F618" s="8"/>
      <c r="G618" s="8"/>
      <c r="H618" s="8"/>
      <c r="I618" s="15"/>
      <c r="J618" s="15"/>
      <c r="K618" s="10" t="str">
        <f aca="false">IF(J618&lt;&gt;"",J618,IF(I618="","",I618*IFERROR(INDEX(สินค้า!$G$2:$G$101,MATCH(B618,สินค้า!$A$2:$A$101,0)),0)))</f>
        <v/>
      </c>
      <c r="L618" s="16" t="str">
        <f aca="false">IF(OR(F618="",F618=0,G618=""),"",G618/F618)</f>
        <v/>
      </c>
      <c r="M618" s="16" t="str">
        <f aca="false">IF(OR(G618="",G618=0,H618=""),"",H618/G618)</f>
        <v/>
      </c>
    </row>
    <row r="619" customFormat="false" ht="15" hidden="false" customHeight="false" outlineLevel="0" collapsed="false">
      <c r="A619" s="12"/>
      <c r="B619" s="6"/>
      <c r="C619" s="13" t="str">
        <f aca="false">IF(B619="","",IFERROR(INDEX(สินค้า!$B$2:$B$101,MATCH(B619,สินค้า!$A$2:$A$101,0)),"ไม่พบรหัส"))</f>
        <v/>
      </c>
      <c r="D619" s="14" t="str">
        <f aca="false">IF(B619="","",IFERROR(INDEX(สินค้า!$D$2:$D$101,MATCH(B619,สินค้า!$A$2:$A$101,0)),""))</f>
        <v/>
      </c>
      <c r="E619" s="6"/>
      <c r="F619" s="8"/>
      <c r="G619" s="8"/>
      <c r="H619" s="8"/>
      <c r="I619" s="15"/>
      <c r="J619" s="15"/>
      <c r="K619" s="10" t="str">
        <f aca="false">IF(J619&lt;&gt;"",J619,IF(I619="","",I619*IFERROR(INDEX(สินค้า!$G$2:$G$101,MATCH(B619,สินค้า!$A$2:$A$101,0)),0)))</f>
        <v/>
      </c>
      <c r="L619" s="16" t="str">
        <f aca="false">IF(OR(F619="",F619=0,G619=""),"",G619/F619)</f>
        <v/>
      </c>
      <c r="M619" s="16" t="str">
        <f aca="false">IF(OR(G619="",G619=0,H619=""),"",H619/G619)</f>
        <v/>
      </c>
    </row>
    <row r="620" customFormat="false" ht="15" hidden="false" customHeight="false" outlineLevel="0" collapsed="false">
      <c r="A620" s="12"/>
      <c r="B620" s="6"/>
      <c r="C620" s="13" t="str">
        <f aca="false">IF(B620="","",IFERROR(INDEX(สินค้า!$B$2:$B$101,MATCH(B620,สินค้า!$A$2:$A$101,0)),"ไม่พบรหัส"))</f>
        <v/>
      </c>
      <c r="D620" s="14" t="str">
        <f aca="false">IF(B620="","",IFERROR(INDEX(สินค้า!$D$2:$D$101,MATCH(B620,สินค้า!$A$2:$A$101,0)),""))</f>
        <v/>
      </c>
      <c r="E620" s="6"/>
      <c r="F620" s="8"/>
      <c r="G620" s="8"/>
      <c r="H620" s="8"/>
      <c r="I620" s="15"/>
      <c r="J620" s="15"/>
      <c r="K620" s="10" t="str">
        <f aca="false">IF(J620&lt;&gt;"",J620,IF(I620="","",I620*IFERROR(INDEX(สินค้า!$G$2:$G$101,MATCH(B620,สินค้า!$A$2:$A$101,0)),0)))</f>
        <v/>
      </c>
      <c r="L620" s="16" t="str">
        <f aca="false">IF(OR(F620="",F620=0,G620=""),"",G620/F620)</f>
        <v/>
      </c>
      <c r="M620" s="16" t="str">
        <f aca="false">IF(OR(G620="",G620=0,H620=""),"",H620/G620)</f>
        <v/>
      </c>
    </row>
    <row r="621" customFormat="false" ht="15" hidden="false" customHeight="false" outlineLevel="0" collapsed="false">
      <c r="A621" s="12"/>
      <c r="B621" s="6"/>
      <c r="C621" s="13" t="str">
        <f aca="false">IF(B621="","",IFERROR(INDEX(สินค้า!$B$2:$B$101,MATCH(B621,สินค้า!$A$2:$A$101,0)),"ไม่พบรหัส"))</f>
        <v/>
      </c>
      <c r="D621" s="14" t="str">
        <f aca="false">IF(B621="","",IFERROR(INDEX(สินค้า!$D$2:$D$101,MATCH(B621,สินค้า!$A$2:$A$101,0)),""))</f>
        <v/>
      </c>
      <c r="E621" s="6"/>
      <c r="F621" s="8"/>
      <c r="G621" s="8"/>
      <c r="H621" s="8"/>
      <c r="I621" s="15"/>
      <c r="J621" s="15"/>
      <c r="K621" s="10" t="str">
        <f aca="false">IF(J621&lt;&gt;"",J621,IF(I621="","",I621*IFERROR(INDEX(สินค้า!$G$2:$G$101,MATCH(B621,สินค้า!$A$2:$A$101,0)),0)))</f>
        <v/>
      </c>
      <c r="L621" s="16" t="str">
        <f aca="false">IF(OR(F621="",F621=0,G621=""),"",G621/F621)</f>
        <v/>
      </c>
      <c r="M621" s="16" t="str">
        <f aca="false">IF(OR(G621="",G621=0,H621=""),"",H621/G621)</f>
        <v/>
      </c>
    </row>
    <row r="622" customFormat="false" ht="15" hidden="false" customHeight="false" outlineLevel="0" collapsed="false">
      <c r="A622" s="12"/>
      <c r="B622" s="6"/>
      <c r="C622" s="13" t="str">
        <f aca="false">IF(B622="","",IFERROR(INDEX(สินค้า!$B$2:$B$101,MATCH(B622,สินค้า!$A$2:$A$101,0)),"ไม่พบรหัส"))</f>
        <v/>
      </c>
      <c r="D622" s="14" t="str">
        <f aca="false">IF(B622="","",IFERROR(INDEX(สินค้า!$D$2:$D$101,MATCH(B622,สินค้า!$A$2:$A$101,0)),""))</f>
        <v/>
      </c>
      <c r="E622" s="6"/>
      <c r="F622" s="8"/>
      <c r="G622" s="8"/>
      <c r="H622" s="8"/>
      <c r="I622" s="15"/>
      <c r="J622" s="15"/>
      <c r="K622" s="10" t="str">
        <f aca="false">IF(J622&lt;&gt;"",J622,IF(I622="","",I622*IFERROR(INDEX(สินค้า!$G$2:$G$101,MATCH(B622,สินค้า!$A$2:$A$101,0)),0)))</f>
        <v/>
      </c>
      <c r="L622" s="16" t="str">
        <f aca="false">IF(OR(F622="",F622=0,G622=""),"",G622/F622)</f>
        <v/>
      </c>
      <c r="M622" s="16" t="str">
        <f aca="false">IF(OR(G622="",G622=0,H622=""),"",H622/G622)</f>
        <v/>
      </c>
    </row>
    <row r="623" customFormat="false" ht="15" hidden="false" customHeight="false" outlineLevel="0" collapsed="false">
      <c r="A623" s="12"/>
      <c r="B623" s="6"/>
      <c r="C623" s="13" t="str">
        <f aca="false">IF(B623="","",IFERROR(INDEX(สินค้า!$B$2:$B$101,MATCH(B623,สินค้า!$A$2:$A$101,0)),"ไม่พบรหัส"))</f>
        <v/>
      </c>
      <c r="D623" s="14" t="str">
        <f aca="false">IF(B623="","",IFERROR(INDEX(สินค้า!$D$2:$D$101,MATCH(B623,สินค้า!$A$2:$A$101,0)),""))</f>
        <v/>
      </c>
      <c r="E623" s="6"/>
      <c r="F623" s="8"/>
      <c r="G623" s="8"/>
      <c r="H623" s="8"/>
      <c r="I623" s="15"/>
      <c r="J623" s="15"/>
      <c r="K623" s="10" t="str">
        <f aca="false">IF(J623&lt;&gt;"",J623,IF(I623="","",I623*IFERROR(INDEX(สินค้า!$G$2:$G$101,MATCH(B623,สินค้า!$A$2:$A$101,0)),0)))</f>
        <v/>
      </c>
      <c r="L623" s="16" t="str">
        <f aca="false">IF(OR(F623="",F623=0,G623=""),"",G623/F623)</f>
        <v/>
      </c>
      <c r="M623" s="16" t="str">
        <f aca="false">IF(OR(G623="",G623=0,H623=""),"",H623/G623)</f>
        <v/>
      </c>
    </row>
    <row r="624" customFormat="false" ht="15" hidden="false" customHeight="false" outlineLevel="0" collapsed="false">
      <c r="A624" s="12"/>
      <c r="B624" s="6"/>
      <c r="C624" s="13" t="str">
        <f aca="false">IF(B624="","",IFERROR(INDEX(สินค้า!$B$2:$B$101,MATCH(B624,สินค้า!$A$2:$A$101,0)),"ไม่พบรหัส"))</f>
        <v/>
      </c>
      <c r="D624" s="14" t="str">
        <f aca="false">IF(B624="","",IFERROR(INDEX(สินค้า!$D$2:$D$101,MATCH(B624,สินค้า!$A$2:$A$101,0)),""))</f>
        <v/>
      </c>
      <c r="E624" s="6"/>
      <c r="F624" s="8"/>
      <c r="G624" s="8"/>
      <c r="H624" s="8"/>
      <c r="I624" s="15"/>
      <c r="J624" s="15"/>
      <c r="K624" s="10" t="str">
        <f aca="false">IF(J624&lt;&gt;"",J624,IF(I624="","",I624*IFERROR(INDEX(สินค้า!$G$2:$G$101,MATCH(B624,สินค้า!$A$2:$A$101,0)),0)))</f>
        <v/>
      </c>
      <c r="L624" s="16" t="str">
        <f aca="false">IF(OR(F624="",F624=0,G624=""),"",G624/F624)</f>
        <v/>
      </c>
      <c r="M624" s="16" t="str">
        <f aca="false">IF(OR(G624="",G624=0,H624=""),"",H624/G624)</f>
        <v/>
      </c>
    </row>
    <row r="625" customFormat="false" ht="15" hidden="false" customHeight="false" outlineLevel="0" collapsed="false">
      <c r="A625" s="12"/>
      <c r="B625" s="6"/>
      <c r="C625" s="13" t="str">
        <f aca="false">IF(B625="","",IFERROR(INDEX(สินค้า!$B$2:$B$101,MATCH(B625,สินค้า!$A$2:$A$101,0)),"ไม่พบรหัส"))</f>
        <v/>
      </c>
      <c r="D625" s="14" t="str">
        <f aca="false">IF(B625="","",IFERROR(INDEX(สินค้า!$D$2:$D$101,MATCH(B625,สินค้า!$A$2:$A$101,0)),""))</f>
        <v/>
      </c>
      <c r="E625" s="6"/>
      <c r="F625" s="8"/>
      <c r="G625" s="8"/>
      <c r="H625" s="8"/>
      <c r="I625" s="15"/>
      <c r="J625" s="15"/>
      <c r="K625" s="10" t="str">
        <f aca="false">IF(J625&lt;&gt;"",J625,IF(I625="","",I625*IFERROR(INDEX(สินค้า!$G$2:$G$101,MATCH(B625,สินค้า!$A$2:$A$101,0)),0)))</f>
        <v/>
      </c>
      <c r="L625" s="16" t="str">
        <f aca="false">IF(OR(F625="",F625=0,G625=""),"",G625/F625)</f>
        <v/>
      </c>
      <c r="M625" s="16" t="str">
        <f aca="false">IF(OR(G625="",G625=0,H625=""),"",H625/G625)</f>
        <v/>
      </c>
    </row>
    <row r="626" customFormat="false" ht="15" hidden="false" customHeight="false" outlineLevel="0" collapsed="false">
      <c r="A626" s="12"/>
      <c r="B626" s="6"/>
      <c r="C626" s="13" t="str">
        <f aca="false">IF(B626="","",IFERROR(INDEX(สินค้า!$B$2:$B$101,MATCH(B626,สินค้า!$A$2:$A$101,0)),"ไม่พบรหัส"))</f>
        <v/>
      </c>
      <c r="D626" s="14" t="str">
        <f aca="false">IF(B626="","",IFERROR(INDEX(สินค้า!$D$2:$D$101,MATCH(B626,สินค้า!$A$2:$A$101,0)),""))</f>
        <v/>
      </c>
      <c r="E626" s="6"/>
      <c r="F626" s="8"/>
      <c r="G626" s="8"/>
      <c r="H626" s="8"/>
      <c r="I626" s="15"/>
      <c r="J626" s="15"/>
      <c r="K626" s="10" t="str">
        <f aca="false">IF(J626&lt;&gt;"",J626,IF(I626="","",I626*IFERROR(INDEX(สินค้า!$G$2:$G$101,MATCH(B626,สินค้า!$A$2:$A$101,0)),0)))</f>
        <v/>
      </c>
      <c r="L626" s="16" t="str">
        <f aca="false">IF(OR(F626="",F626=0,G626=""),"",G626/F626)</f>
        <v/>
      </c>
      <c r="M626" s="16" t="str">
        <f aca="false">IF(OR(G626="",G626=0,H626=""),"",H626/G626)</f>
        <v/>
      </c>
    </row>
    <row r="627" customFormat="false" ht="15" hidden="false" customHeight="false" outlineLevel="0" collapsed="false">
      <c r="A627" s="12"/>
      <c r="B627" s="6"/>
      <c r="C627" s="13" t="str">
        <f aca="false">IF(B627="","",IFERROR(INDEX(สินค้า!$B$2:$B$101,MATCH(B627,สินค้า!$A$2:$A$101,0)),"ไม่พบรหัส"))</f>
        <v/>
      </c>
      <c r="D627" s="14" t="str">
        <f aca="false">IF(B627="","",IFERROR(INDEX(สินค้า!$D$2:$D$101,MATCH(B627,สินค้า!$A$2:$A$101,0)),""))</f>
        <v/>
      </c>
      <c r="E627" s="6"/>
      <c r="F627" s="8"/>
      <c r="G627" s="8"/>
      <c r="H627" s="8"/>
      <c r="I627" s="15"/>
      <c r="J627" s="15"/>
      <c r="K627" s="10" t="str">
        <f aca="false">IF(J627&lt;&gt;"",J627,IF(I627="","",I627*IFERROR(INDEX(สินค้า!$G$2:$G$101,MATCH(B627,สินค้า!$A$2:$A$101,0)),0)))</f>
        <v/>
      </c>
      <c r="L627" s="16" t="str">
        <f aca="false">IF(OR(F627="",F627=0,G627=""),"",G627/F627)</f>
        <v/>
      </c>
      <c r="M627" s="16" t="str">
        <f aca="false">IF(OR(G627="",G627=0,H627=""),"",H627/G627)</f>
        <v/>
      </c>
    </row>
    <row r="628" customFormat="false" ht="15" hidden="false" customHeight="false" outlineLevel="0" collapsed="false">
      <c r="A628" s="12"/>
      <c r="B628" s="6"/>
      <c r="C628" s="13" t="str">
        <f aca="false">IF(B628="","",IFERROR(INDEX(สินค้า!$B$2:$B$101,MATCH(B628,สินค้า!$A$2:$A$101,0)),"ไม่พบรหัส"))</f>
        <v/>
      </c>
      <c r="D628" s="14" t="str">
        <f aca="false">IF(B628="","",IFERROR(INDEX(สินค้า!$D$2:$D$101,MATCH(B628,สินค้า!$A$2:$A$101,0)),""))</f>
        <v/>
      </c>
      <c r="E628" s="6"/>
      <c r="F628" s="8"/>
      <c r="G628" s="8"/>
      <c r="H628" s="8"/>
      <c r="I628" s="15"/>
      <c r="J628" s="15"/>
      <c r="K628" s="10" t="str">
        <f aca="false">IF(J628&lt;&gt;"",J628,IF(I628="","",I628*IFERROR(INDEX(สินค้า!$G$2:$G$101,MATCH(B628,สินค้า!$A$2:$A$101,0)),0)))</f>
        <v/>
      </c>
      <c r="L628" s="16" t="str">
        <f aca="false">IF(OR(F628="",F628=0,G628=""),"",G628/F628)</f>
        <v/>
      </c>
      <c r="M628" s="16" t="str">
        <f aca="false">IF(OR(G628="",G628=0,H628=""),"",H628/G628)</f>
        <v/>
      </c>
    </row>
    <row r="629" customFormat="false" ht="15" hidden="false" customHeight="false" outlineLevel="0" collapsed="false">
      <c r="A629" s="12"/>
      <c r="B629" s="6"/>
      <c r="C629" s="13" t="str">
        <f aca="false">IF(B629="","",IFERROR(INDEX(สินค้า!$B$2:$B$101,MATCH(B629,สินค้า!$A$2:$A$101,0)),"ไม่พบรหัส"))</f>
        <v/>
      </c>
      <c r="D629" s="14" t="str">
        <f aca="false">IF(B629="","",IFERROR(INDEX(สินค้า!$D$2:$D$101,MATCH(B629,สินค้า!$A$2:$A$101,0)),""))</f>
        <v/>
      </c>
      <c r="E629" s="6"/>
      <c r="F629" s="8"/>
      <c r="G629" s="8"/>
      <c r="H629" s="8"/>
      <c r="I629" s="15"/>
      <c r="J629" s="15"/>
      <c r="K629" s="10" t="str">
        <f aca="false">IF(J629&lt;&gt;"",J629,IF(I629="","",I629*IFERROR(INDEX(สินค้า!$G$2:$G$101,MATCH(B629,สินค้า!$A$2:$A$101,0)),0)))</f>
        <v/>
      </c>
      <c r="L629" s="16" t="str">
        <f aca="false">IF(OR(F629="",F629=0,G629=""),"",G629/F629)</f>
        <v/>
      </c>
      <c r="M629" s="16" t="str">
        <f aca="false">IF(OR(G629="",G629=0,H629=""),"",H629/G629)</f>
        <v/>
      </c>
    </row>
    <row r="630" customFormat="false" ht="15" hidden="false" customHeight="false" outlineLevel="0" collapsed="false">
      <c r="A630" s="12"/>
      <c r="B630" s="6"/>
      <c r="C630" s="13" t="str">
        <f aca="false">IF(B630="","",IFERROR(INDEX(สินค้า!$B$2:$B$101,MATCH(B630,สินค้า!$A$2:$A$101,0)),"ไม่พบรหัส"))</f>
        <v/>
      </c>
      <c r="D630" s="14" t="str">
        <f aca="false">IF(B630="","",IFERROR(INDEX(สินค้า!$D$2:$D$101,MATCH(B630,สินค้า!$A$2:$A$101,0)),""))</f>
        <v/>
      </c>
      <c r="E630" s="6"/>
      <c r="F630" s="8"/>
      <c r="G630" s="8"/>
      <c r="H630" s="8"/>
      <c r="I630" s="15"/>
      <c r="J630" s="15"/>
      <c r="K630" s="10" t="str">
        <f aca="false">IF(J630&lt;&gt;"",J630,IF(I630="","",I630*IFERROR(INDEX(สินค้า!$G$2:$G$101,MATCH(B630,สินค้า!$A$2:$A$101,0)),0)))</f>
        <v/>
      </c>
      <c r="L630" s="16" t="str">
        <f aca="false">IF(OR(F630="",F630=0,G630=""),"",G630/F630)</f>
        <v/>
      </c>
      <c r="M630" s="16" t="str">
        <f aca="false">IF(OR(G630="",G630=0,H630=""),"",H630/G630)</f>
        <v/>
      </c>
    </row>
    <row r="631" customFormat="false" ht="15" hidden="false" customHeight="false" outlineLevel="0" collapsed="false">
      <c r="A631" s="12"/>
      <c r="B631" s="6"/>
      <c r="C631" s="13" t="str">
        <f aca="false">IF(B631="","",IFERROR(INDEX(สินค้า!$B$2:$B$101,MATCH(B631,สินค้า!$A$2:$A$101,0)),"ไม่พบรหัส"))</f>
        <v/>
      </c>
      <c r="D631" s="14" t="str">
        <f aca="false">IF(B631="","",IFERROR(INDEX(สินค้า!$D$2:$D$101,MATCH(B631,สินค้า!$A$2:$A$101,0)),""))</f>
        <v/>
      </c>
      <c r="E631" s="6"/>
      <c r="F631" s="8"/>
      <c r="G631" s="8"/>
      <c r="H631" s="8"/>
      <c r="I631" s="15"/>
      <c r="J631" s="15"/>
      <c r="K631" s="10" t="str">
        <f aca="false">IF(J631&lt;&gt;"",J631,IF(I631="","",I631*IFERROR(INDEX(สินค้า!$G$2:$G$101,MATCH(B631,สินค้า!$A$2:$A$101,0)),0)))</f>
        <v/>
      </c>
      <c r="L631" s="16" t="str">
        <f aca="false">IF(OR(F631="",F631=0,G631=""),"",G631/F631)</f>
        <v/>
      </c>
      <c r="M631" s="16" t="str">
        <f aca="false">IF(OR(G631="",G631=0,H631=""),"",H631/G631)</f>
        <v/>
      </c>
    </row>
    <row r="632" customFormat="false" ht="15" hidden="false" customHeight="false" outlineLevel="0" collapsed="false">
      <c r="A632" s="12"/>
      <c r="B632" s="6"/>
      <c r="C632" s="13" t="str">
        <f aca="false">IF(B632="","",IFERROR(INDEX(สินค้า!$B$2:$B$101,MATCH(B632,สินค้า!$A$2:$A$101,0)),"ไม่พบรหัส"))</f>
        <v/>
      </c>
      <c r="D632" s="14" t="str">
        <f aca="false">IF(B632="","",IFERROR(INDEX(สินค้า!$D$2:$D$101,MATCH(B632,สินค้า!$A$2:$A$101,0)),""))</f>
        <v/>
      </c>
      <c r="E632" s="6"/>
      <c r="F632" s="8"/>
      <c r="G632" s="8"/>
      <c r="H632" s="8"/>
      <c r="I632" s="15"/>
      <c r="J632" s="15"/>
      <c r="K632" s="10" t="str">
        <f aca="false">IF(J632&lt;&gt;"",J632,IF(I632="","",I632*IFERROR(INDEX(สินค้า!$G$2:$G$101,MATCH(B632,สินค้า!$A$2:$A$101,0)),0)))</f>
        <v/>
      </c>
      <c r="L632" s="16" t="str">
        <f aca="false">IF(OR(F632="",F632=0,G632=""),"",G632/F632)</f>
        <v/>
      </c>
      <c r="M632" s="16" t="str">
        <f aca="false">IF(OR(G632="",G632=0,H632=""),"",H632/G632)</f>
        <v/>
      </c>
    </row>
    <row r="633" customFormat="false" ht="15" hidden="false" customHeight="false" outlineLevel="0" collapsed="false">
      <c r="A633" s="12"/>
      <c r="B633" s="6"/>
      <c r="C633" s="13" t="str">
        <f aca="false">IF(B633="","",IFERROR(INDEX(สินค้า!$B$2:$B$101,MATCH(B633,สินค้า!$A$2:$A$101,0)),"ไม่พบรหัส"))</f>
        <v/>
      </c>
      <c r="D633" s="14" t="str">
        <f aca="false">IF(B633="","",IFERROR(INDEX(สินค้า!$D$2:$D$101,MATCH(B633,สินค้า!$A$2:$A$101,0)),""))</f>
        <v/>
      </c>
      <c r="E633" s="6"/>
      <c r="F633" s="8"/>
      <c r="G633" s="8"/>
      <c r="H633" s="8"/>
      <c r="I633" s="15"/>
      <c r="J633" s="15"/>
      <c r="K633" s="10" t="str">
        <f aca="false">IF(J633&lt;&gt;"",J633,IF(I633="","",I633*IFERROR(INDEX(สินค้า!$G$2:$G$101,MATCH(B633,สินค้า!$A$2:$A$101,0)),0)))</f>
        <v/>
      </c>
      <c r="L633" s="16" t="str">
        <f aca="false">IF(OR(F633="",F633=0,G633=""),"",G633/F633)</f>
        <v/>
      </c>
      <c r="M633" s="16" t="str">
        <f aca="false">IF(OR(G633="",G633=0,H633=""),"",H633/G633)</f>
        <v/>
      </c>
    </row>
    <row r="634" customFormat="false" ht="15" hidden="false" customHeight="false" outlineLevel="0" collapsed="false">
      <c r="A634" s="12"/>
      <c r="B634" s="6"/>
      <c r="C634" s="13" t="str">
        <f aca="false">IF(B634="","",IFERROR(INDEX(สินค้า!$B$2:$B$101,MATCH(B634,สินค้า!$A$2:$A$101,0)),"ไม่พบรหัส"))</f>
        <v/>
      </c>
      <c r="D634" s="14" t="str">
        <f aca="false">IF(B634="","",IFERROR(INDEX(สินค้า!$D$2:$D$101,MATCH(B634,สินค้า!$A$2:$A$101,0)),""))</f>
        <v/>
      </c>
      <c r="E634" s="6"/>
      <c r="F634" s="8"/>
      <c r="G634" s="8"/>
      <c r="H634" s="8"/>
      <c r="I634" s="15"/>
      <c r="J634" s="15"/>
      <c r="K634" s="10" t="str">
        <f aca="false">IF(J634&lt;&gt;"",J634,IF(I634="","",I634*IFERROR(INDEX(สินค้า!$G$2:$G$101,MATCH(B634,สินค้า!$A$2:$A$101,0)),0)))</f>
        <v/>
      </c>
      <c r="L634" s="16" t="str">
        <f aca="false">IF(OR(F634="",F634=0,G634=""),"",G634/F634)</f>
        <v/>
      </c>
      <c r="M634" s="16" t="str">
        <f aca="false">IF(OR(G634="",G634=0,H634=""),"",H634/G634)</f>
        <v/>
      </c>
    </row>
    <row r="635" customFormat="false" ht="15" hidden="false" customHeight="false" outlineLevel="0" collapsed="false">
      <c r="A635" s="12"/>
      <c r="B635" s="6"/>
      <c r="C635" s="13" t="str">
        <f aca="false">IF(B635="","",IFERROR(INDEX(สินค้า!$B$2:$B$101,MATCH(B635,สินค้า!$A$2:$A$101,0)),"ไม่พบรหัส"))</f>
        <v/>
      </c>
      <c r="D635" s="14" t="str">
        <f aca="false">IF(B635="","",IFERROR(INDEX(สินค้า!$D$2:$D$101,MATCH(B635,สินค้า!$A$2:$A$101,0)),""))</f>
        <v/>
      </c>
      <c r="E635" s="6"/>
      <c r="F635" s="8"/>
      <c r="G635" s="8"/>
      <c r="H635" s="8"/>
      <c r="I635" s="15"/>
      <c r="J635" s="15"/>
      <c r="K635" s="10" t="str">
        <f aca="false">IF(J635&lt;&gt;"",J635,IF(I635="","",I635*IFERROR(INDEX(สินค้า!$G$2:$G$101,MATCH(B635,สินค้า!$A$2:$A$101,0)),0)))</f>
        <v/>
      </c>
      <c r="L635" s="16" t="str">
        <f aca="false">IF(OR(F635="",F635=0,G635=""),"",G635/F635)</f>
        <v/>
      </c>
      <c r="M635" s="16" t="str">
        <f aca="false">IF(OR(G635="",G635=0,H635=""),"",H635/G635)</f>
        <v/>
      </c>
    </row>
    <row r="636" customFormat="false" ht="15" hidden="false" customHeight="false" outlineLevel="0" collapsed="false">
      <c r="A636" s="12"/>
      <c r="B636" s="6"/>
      <c r="C636" s="13" t="str">
        <f aca="false">IF(B636="","",IFERROR(INDEX(สินค้า!$B$2:$B$101,MATCH(B636,สินค้า!$A$2:$A$101,0)),"ไม่พบรหัส"))</f>
        <v/>
      </c>
      <c r="D636" s="14" t="str">
        <f aca="false">IF(B636="","",IFERROR(INDEX(สินค้า!$D$2:$D$101,MATCH(B636,สินค้า!$A$2:$A$101,0)),""))</f>
        <v/>
      </c>
      <c r="E636" s="6"/>
      <c r="F636" s="8"/>
      <c r="G636" s="8"/>
      <c r="H636" s="8"/>
      <c r="I636" s="15"/>
      <c r="J636" s="15"/>
      <c r="K636" s="10" t="str">
        <f aca="false">IF(J636&lt;&gt;"",J636,IF(I636="","",I636*IFERROR(INDEX(สินค้า!$G$2:$G$101,MATCH(B636,สินค้า!$A$2:$A$101,0)),0)))</f>
        <v/>
      </c>
      <c r="L636" s="16" t="str">
        <f aca="false">IF(OR(F636="",F636=0,G636=""),"",G636/F636)</f>
        <v/>
      </c>
      <c r="M636" s="16" t="str">
        <f aca="false">IF(OR(G636="",G636=0,H636=""),"",H636/G636)</f>
        <v/>
      </c>
    </row>
    <row r="637" customFormat="false" ht="15" hidden="false" customHeight="false" outlineLevel="0" collapsed="false">
      <c r="A637" s="12"/>
      <c r="B637" s="6"/>
      <c r="C637" s="13" t="str">
        <f aca="false">IF(B637="","",IFERROR(INDEX(สินค้า!$B$2:$B$101,MATCH(B637,สินค้า!$A$2:$A$101,0)),"ไม่พบรหัส"))</f>
        <v/>
      </c>
      <c r="D637" s="14" t="str">
        <f aca="false">IF(B637="","",IFERROR(INDEX(สินค้า!$D$2:$D$101,MATCH(B637,สินค้า!$A$2:$A$101,0)),""))</f>
        <v/>
      </c>
      <c r="E637" s="6"/>
      <c r="F637" s="8"/>
      <c r="G637" s="8"/>
      <c r="H637" s="8"/>
      <c r="I637" s="15"/>
      <c r="J637" s="15"/>
      <c r="K637" s="10" t="str">
        <f aca="false">IF(J637&lt;&gt;"",J637,IF(I637="","",I637*IFERROR(INDEX(สินค้า!$G$2:$G$101,MATCH(B637,สินค้า!$A$2:$A$101,0)),0)))</f>
        <v/>
      </c>
      <c r="L637" s="16" t="str">
        <f aca="false">IF(OR(F637="",F637=0,G637=""),"",G637/F637)</f>
        <v/>
      </c>
      <c r="M637" s="16" t="str">
        <f aca="false">IF(OR(G637="",G637=0,H637=""),"",H637/G637)</f>
        <v/>
      </c>
    </row>
    <row r="638" customFormat="false" ht="15" hidden="false" customHeight="false" outlineLevel="0" collapsed="false">
      <c r="A638" s="12"/>
      <c r="B638" s="6"/>
      <c r="C638" s="13" t="str">
        <f aca="false">IF(B638="","",IFERROR(INDEX(สินค้า!$B$2:$B$101,MATCH(B638,สินค้า!$A$2:$A$101,0)),"ไม่พบรหัส"))</f>
        <v/>
      </c>
      <c r="D638" s="14" t="str">
        <f aca="false">IF(B638="","",IFERROR(INDEX(สินค้า!$D$2:$D$101,MATCH(B638,สินค้า!$A$2:$A$101,0)),""))</f>
        <v/>
      </c>
      <c r="E638" s="6"/>
      <c r="F638" s="8"/>
      <c r="G638" s="8"/>
      <c r="H638" s="8"/>
      <c r="I638" s="15"/>
      <c r="J638" s="15"/>
      <c r="K638" s="10" t="str">
        <f aca="false">IF(J638&lt;&gt;"",J638,IF(I638="","",I638*IFERROR(INDEX(สินค้า!$G$2:$G$101,MATCH(B638,สินค้า!$A$2:$A$101,0)),0)))</f>
        <v/>
      </c>
      <c r="L638" s="16" t="str">
        <f aca="false">IF(OR(F638="",F638=0,G638=""),"",G638/F638)</f>
        <v/>
      </c>
      <c r="M638" s="16" t="str">
        <f aca="false">IF(OR(G638="",G638=0,H638=""),"",H638/G638)</f>
        <v/>
      </c>
    </row>
    <row r="639" customFormat="false" ht="15" hidden="false" customHeight="false" outlineLevel="0" collapsed="false">
      <c r="A639" s="12"/>
      <c r="B639" s="6"/>
      <c r="C639" s="13" t="str">
        <f aca="false">IF(B639="","",IFERROR(INDEX(สินค้า!$B$2:$B$101,MATCH(B639,สินค้า!$A$2:$A$101,0)),"ไม่พบรหัส"))</f>
        <v/>
      </c>
      <c r="D639" s="14" t="str">
        <f aca="false">IF(B639="","",IFERROR(INDEX(สินค้า!$D$2:$D$101,MATCH(B639,สินค้า!$A$2:$A$101,0)),""))</f>
        <v/>
      </c>
      <c r="E639" s="6"/>
      <c r="F639" s="8"/>
      <c r="G639" s="8"/>
      <c r="H639" s="8"/>
      <c r="I639" s="15"/>
      <c r="J639" s="15"/>
      <c r="K639" s="10" t="str">
        <f aca="false">IF(J639&lt;&gt;"",J639,IF(I639="","",I639*IFERROR(INDEX(สินค้า!$G$2:$G$101,MATCH(B639,สินค้า!$A$2:$A$101,0)),0)))</f>
        <v/>
      </c>
      <c r="L639" s="16" t="str">
        <f aca="false">IF(OR(F639="",F639=0,G639=""),"",G639/F639)</f>
        <v/>
      </c>
      <c r="M639" s="16" t="str">
        <f aca="false">IF(OR(G639="",G639=0,H639=""),"",H639/G639)</f>
        <v/>
      </c>
    </row>
    <row r="640" customFormat="false" ht="15" hidden="false" customHeight="false" outlineLevel="0" collapsed="false">
      <c r="A640" s="12"/>
      <c r="B640" s="6"/>
      <c r="C640" s="13" t="str">
        <f aca="false">IF(B640="","",IFERROR(INDEX(สินค้า!$B$2:$B$101,MATCH(B640,สินค้า!$A$2:$A$101,0)),"ไม่พบรหัส"))</f>
        <v/>
      </c>
      <c r="D640" s="14" t="str">
        <f aca="false">IF(B640="","",IFERROR(INDEX(สินค้า!$D$2:$D$101,MATCH(B640,สินค้า!$A$2:$A$101,0)),""))</f>
        <v/>
      </c>
      <c r="E640" s="6"/>
      <c r="F640" s="8"/>
      <c r="G640" s="8"/>
      <c r="H640" s="8"/>
      <c r="I640" s="15"/>
      <c r="J640" s="15"/>
      <c r="K640" s="10" t="str">
        <f aca="false">IF(J640&lt;&gt;"",J640,IF(I640="","",I640*IFERROR(INDEX(สินค้า!$G$2:$G$101,MATCH(B640,สินค้า!$A$2:$A$101,0)),0)))</f>
        <v/>
      </c>
      <c r="L640" s="16" t="str">
        <f aca="false">IF(OR(F640="",F640=0,G640=""),"",G640/F640)</f>
        <v/>
      </c>
      <c r="M640" s="16" t="str">
        <f aca="false">IF(OR(G640="",G640=0,H640=""),"",H640/G640)</f>
        <v/>
      </c>
    </row>
    <row r="641" customFormat="false" ht="15" hidden="false" customHeight="false" outlineLevel="0" collapsed="false">
      <c r="A641" s="12"/>
      <c r="B641" s="6"/>
      <c r="C641" s="13" t="str">
        <f aca="false">IF(B641="","",IFERROR(INDEX(สินค้า!$B$2:$B$101,MATCH(B641,สินค้า!$A$2:$A$101,0)),"ไม่พบรหัส"))</f>
        <v/>
      </c>
      <c r="D641" s="14" t="str">
        <f aca="false">IF(B641="","",IFERROR(INDEX(สินค้า!$D$2:$D$101,MATCH(B641,สินค้า!$A$2:$A$101,0)),""))</f>
        <v/>
      </c>
      <c r="E641" s="6"/>
      <c r="F641" s="8"/>
      <c r="G641" s="8"/>
      <c r="H641" s="8"/>
      <c r="I641" s="15"/>
      <c r="J641" s="15"/>
      <c r="K641" s="10" t="str">
        <f aca="false">IF(J641&lt;&gt;"",J641,IF(I641="","",I641*IFERROR(INDEX(สินค้า!$G$2:$G$101,MATCH(B641,สินค้า!$A$2:$A$101,0)),0)))</f>
        <v/>
      </c>
      <c r="L641" s="16" t="str">
        <f aca="false">IF(OR(F641="",F641=0,G641=""),"",G641/F641)</f>
        <v/>
      </c>
      <c r="M641" s="16" t="str">
        <f aca="false">IF(OR(G641="",G641=0,H641=""),"",H641/G641)</f>
        <v/>
      </c>
    </row>
    <row r="642" customFormat="false" ht="15" hidden="false" customHeight="false" outlineLevel="0" collapsed="false">
      <c r="A642" s="12"/>
      <c r="B642" s="6"/>
      <c r="C642" s="13" t="str">
        <f aca="false">IF(B642="","",IFERROR(INDEX(สินค้า!$B$2:$B$101,MATCH(B642,สินค้า!$A$2:$A$101,0)),"ไม่พบรหัส"))</f>
        <v/>
      </c>
      <c r="D642" s="14" t="str">
        <f aca="false">IF(B642="","",IFERROR(INDEX(สินค้า!$D$2:$D$101,MATCH(B642,สินค้า!$A$2:$A$101,0)),""))</f>
        <v/>
      </c>
      <c r="E642" s="6"/>
      <c r="F642" s="8"/>
      <c r="G642" s="8"/>
      <c r="H642" s="8"/>
      <c r="I642" s="15"/>
      <c r="J642" s="15"/>
      <c r="K642" s="10" t="str">
        <f aca="false">IF(J642&lt;&gt;"",J642,IF(I642="","",I642*IFERROR(INDEX(สินค้า!$G$2:$G$101,MATCH(B642,สินค้า!$A$2:$A$101,0)),0)))</f>
        <v/>
      </c>
      <c r="L642" s="16" t="str">
        <f aca="false">IF(OR(F642="",F642=0,G642=""),"",G642/F642)</f>
        <v/>
      </c>
      <c r="M642" s="16" t="str">
        <f aca="false">IF(OR(G642="",G642=0,H642=""),"",H642/G642)</f>
        <v/>
      </c>
    </row>
    <row r="643" customFormat="false" ht="15" hidden="false" customHeight="false" outlineLevel="0" collapsed="false">
      <c r="A643" s="12"/>
      <c r="B643" s="6"/>
      <c r="C643" s="13" t="str">
        <f aca="false">IF(B643="","",IFERROR(INDEX(สินค้า!$B$2:$B$101,MATCH(B643,สินค้า!$A$2:$A$101,0)),"ไม่พบรหัส"))</f>
        <v/>
      </c>
      <c r="D643" s="14" t="str">
        <f aca="false">IF(B643="","",IFERROR(INDEX(สินค้า!$D$2:$D$101,MATCH(B643,สินค้า!$A$2:$A$101,0)),""))</f>
        <v/>
      </c>
      <c r="E643" s="6"/>
      <c r="F643" s="8"/>
      <c r="G643" s="8"/>
      <c r="H643" s="8"/>
      <c r="I643" s="15"/>
      <c r="J643" s="15"/>
      <c r="K643" s="10" t="str">
        <f aca="false">IF(J643&lt;&gt;"",J643,IF(I643="","",I643*IFERROR(INDEX(สินค้า!$G$2:$G$101,MATCH(B643,สินค้า!$A$2:$A$101,0)),0)))</f>
        <v/>
      </c>
      <c r="L643" s="16" t="str">
        <f aca="false">IF(OR(F643="",F643=0,G643=""),"",G643/F643)</f>
        <v/>
      </c>
      <c r="M643" s="16" t="str">
        <f aca="false">IF(OR(G643="",G643=0,H643=""),"",H643/G643)</f>
        <v/>
      </c>
    </row>
    <row r="644" customFormat="false" ht="15" hidden="false" customHeight="false" outlineLevel="0" collapsed="false">
      <c r="A644" s="12"/>
      <c r="B644" s="6"/>
      <c r="C644" s="13" t="str">
        <f aca="false">IF(B644="","",IFERROR(INDEX(สินค้า!$B$2:$B$101,MATCH(B644,สินค้า!$A$2:$A$101,0)),"ไม่พบรหัส"))</f>
        <v/>
      </c>
      <c r="D644" s="14" t="str">
        <f aca="false">IF(B644="","",IFERROR(INDEX(สินค้า!$D$2:$D$101,MATCH(B644,สินค้า!$A$2:$A$101,0)),""))</f>
        <v/>
      </c>
      <c r="E644" s="6"/>
      <c r="F644" s="8"/>
      <c r="G644" s="8"/>
      <c r="H644" s="8"/>
      <c r="I644" s="15"/>
      <c r="J644" s="15"/>
      <c r="K644" s="10" t="str">
        <f aca="false">IF(J644&lt;&gt;"",J644,IF(I644="","",I644*IFERROR(INDEX(สินค้า!$G$2:$G$101,MATCH(B644,สินค้า!$A$2:$A$101,0)),0)))</f>
        <v/>
      </c>
      <c r="L644" s="16" t="str">
        <f aca="false">IF(OR(F644="",F644=0,G644=""),"",G644/F644)</f>
        <v/>
      </c>
      <c r="M644" s="16" t="str">
        <f aca="false">IF(OR(G644="",G644=0,H644=""),"",H644/G644)</f>
        <v/>
      </c>
    </row>
    <row r="645" customFormat="false" ht="15" hidden="false" customHeight="false" outlineLevel="0" collapsed="false">
      <c r="A645" s="12"/>
      <c r="B645" s="6"/>
      <c r="C645" s="13" t="str">
        <f aca="false">IF(B645="","",IFERROR(INDEX(สินค้า!$B$2:$B$101,MATCH(B645,สินค้า!$A$2:$A$101,0)),"ไม่พบรหัส"))</f>
        <v/>
      </c>
      <c r="D645" s="14" t="str">
        <f aca="false">IF(B645="","",IFERROR(INDEX(สินค้า!$D$2:$D$101,MATCH(B645,สินค้า!$A$2:$A$101,0)),""))</f>
        <v/>
      </c>
      <c r="E645" s="6"/>
      <c r="F645" s="8"/>
      <c r="G645" s="8"/>
      <c r="H645" s="8"/>
      <c r="I645" s="15"/>
      <c r="J645" s="15"/>
      <c r="K645" s="10" t="str">
        <f aca="false">IF(J645&lt;&gt;"",J645,IF(I645="","",I645*IFERROR(INDEX(สินค้า!$G$2:$G$101,MATCH(B645,สินค้า!$A$2:$A$101,0)),0)))</f>
        <v/>
      </c>
      <c r="L645" s="16" t="str">
        <f aca="false">IF(OR(F645="",F645=0,G645=""),"",G645/F645)</f>
        <v/>
      </c>
      <c r="M645" s="16" t="str">
        <f aca="false">IF(OR(G645="",G645=0,H645=""),"",H645/G645)</f>
        <v/>
      </c>
    </row>
    <row r="646" customFormat="false" ht="15" hidden="false" customHeight="false" outlineLevel="0" collapsed="false">
      <c r="A646" s="12"/>
      <c r="B646" s="6"/>
      <c r="C646" s="13" t="str">
        <f aca="false">IF(B646="","",IFERROR(INDEX(สินค้า!$B$2:$B$101,MATCH(B646,สินค้า!$A$2:$A$101,0)),"ไม่พบรหัส"))</f>
        <v/>
      </c>
      <c r="D646" s="14" t="str">
        <f aca="false">IF(B646="","",IFERROR(INDEX(สินค้า!$D$2:$D$101,MATCH(B646,สินค้า!$A$2:$A$101,0)),""))</f>
        <v/>
      </c>
      <c r="E646" s="6"/>
      <c r="F646" s="8"/>
      <c r="G646" s="8"/>
      <c r="H646" s="8"/>
      <c r="I646" s="15"/>
      <c r="J646" s="15"/>
      <c r="K646" s="10" t="str">
        <f aca="false">IF(J646&lt;&gt;"",J646,IF(I646="","",I646*IFERROR(INDEX(สินค้า!$G$2:$G$101,MATCH(B646,สินค้า!$A$2:$A$101,0)),0)))</f>
        <v/>
      </c>
      <c r="L646" s="16" t="str">
        <f aca="false">IF(OR(F646="",F646=0,G646=""),"",G646/F646)</f>
        <v/>
      </c>
      <c r="M646" s="16" t="str">
        <f aca="false">IF(OR(G646="",G646=0,H646=""),"",H646/G646)</f>
        <v/>
      </c>
    </row>
    <row r="647" customFormat="false" ht="15" hidden="false" customHeight="false" outlineLevel="0" collapsed="false">
      <c r="A647" s="12"/>
      <c r="B647" s="6"/>
      <c r="C647" s="13" t="str">
        <f aca="false">IF(B647="","",IFERROR(INDEX(สินค้า!$B$2:$B$101,MATCH(B647,สินค้า!$A$2:$A$101,0)),"ไม่พบรหัส"))</f>
        <v/>
      </c>
      <c r="D647" s="14" t="str">
        <f aca="false">IF(B647="","",IFERROR(INDEX(สินค้า!$D$2:$D$101,MATCH(B647,สินค้า!$A$2:$A$101,0)),""))</f>
        <v/>
      </c>
      <c r="E647" s="6"/>
      <c r="F647" s="8"/>
      <c r="G647" s="8"/>
      <c r="H647" s="8"/>
      <c r="I647" s="15"/>
      <c r="J647" s="15"/>
      <c r="K647" s="10" t="str">
        <f aca="false">IF(J647&lt;&gt;"",J647,IF(I647="","",I647*IFERROR(INDEX(สินค้า!$G$2:$G$101,MATCH(B647,สินค้า!$A$2:$A$101,0)),0)))</f>
        <v/>
      </c>
      <c r="L647" s="16" t="str">
        <f aca="false">IF(OR(F647="",F647=0,G647=""),"",G647/F647)</f>
        <v/>
      </c>
      <c r="M647" s="16" t="str">
        <f aca="false">IF(OR(G647="",G647=0,H647=""),"",H647/G647)</f>
        <v/>
      </c>
    </row>
    <row r="648" customFormat="false" ht="15" hidden="false" customHeight="false" outlineLevel="0" collapsed="false">
      <c r="A648" s="12"/>
      <c r="B648" s="6"/>
      <c r="C648" s="13" t="str">
        <f aca="false">IF(B648="","",IFERROR(INDEX(สินค้า!$B$2:$B$101,MATCH(B648,สินค้า!$A$2:$A$101,0)),"ไม่พบรหัส"))</f>
        <v/>
      </c>
      <c r="D648" s="14" t="str">
        <f aca="false">IF(B648="","",IFERROR(INDEX(สินค้า!$D$2:$D$101,MATCH(B648,สินค้า!$A$2:$A$101,0)),""))</f>
        <v/>
      </c>
      <c r="E648" s="6"/>
      <c r="F648" s="8"/>
      <c r="G648" s="8"/>
      <c r="H648" s="8"/>
      <c r="I648" s="15"/>
      <c r="J648" s="15"/>
      <c r="K648" s="10" t="str">
        <f aca="false">IF(J648&lt;&gt;"",J648,IF(I648="","",I648*IFERROR(INDEX(สินค้า!$G$2:$G$101,MATCH(B648,สินค้า!$A$2:$A$101,0)),0)))</f>
        <v/>
      </c>
      <c r="L648" s="16" t="str">
        <f aca="false">IF(OR(F648="",F648=0,G648=""),"",G648/F648)</f>
        <v/>
      </c>
      <c r="M648" s="16" t="str">
        <f aca="false">IF(OR(G648="",G648=0,H648=""),"",H648/G648)</f>
        <v/>
      </c>
    </row>
    <row r="649" customFormat="false" ht="15" hidden="false" customHeight="false" outlineLevel="0" collapsed="false">
      <c r="A649" s="12"/>
      <c r="B649" s="6"/>
      <c r="C649" s="13" t="str">
        <f aca="false">IF(B649="","",IFERROR(INDEX(สินค้า!$B$2:$B$101,MATCH(B649,สินค้า!$A$2:$A$101,0)),"ไม่พบรหัส"))</f>
        <v/>
      </c>
      <c r="D649" s="14" t="str">
        <f aca="false">IF(B649="","",IFERROR(INDEX(สินค้า!$D$2:$D$101,MATCH(B649,สินค้า!$A$2:$A$101,0)),""))</f>
        <v/>
      </c>
      <c r="E649" s="6"/>
      <c r="F649" s="8"/>
      <c r="G649" s="8"/>
      <c r="H649" s="8"/>
      <c r="I649" s="15"/>
      <c r="J649" s="15"/>
      <c r="K649" s="10" t="str">
        <f aca="false">IF(J649&lt;&gt;"",J649,IF(I649="","",I649*IFERROR(INDEX(สินค้า!$G$2:$G$101,MATCH(B649,สินค้า!$A$2:$A$101,0)),0)))</f>
        <v/>
      </c>
      <c r="L649" s="16" t="str">
        <f aca="false">IF(OR(F649="",F649=0,G649=""),"",G649/F649)</f>
        <v/>
      </c>
      <c r="M649" s="16" t="str">
        <f aca="false">IF(OR(G649="",G649=0,H649=""),"",H649/G649)</f>
        <v/>
      </c>
    </row>
    <row r="650" customFormat="false" ht="15" hidden="false" customHeight="false" outlineLevel="0" collapsed="false">
      <c r="A650" s="12"/>
      <c r="B650" s="6"/>
      <c r="C650" s="13" t="str">
        <f aca="false">IF(B650="","",IFERROR(INDEX(สินค้า!$B$2:$B$101,MATCH(B650,สินค้า!$A$2:$A$101,0)),"ไม่พบรหัส"))</f>
        <v/>
      </c>
      <c r="D650" s="14" t="str">
        <f aca="false">IF(B650="","",IFERROR(INDEX(สินค้า!$D$2:$D$101,MATCH(B650,สินค้า!$A$2:$A$101,0)),""))</f>
        <v/>
      </c>
      <c r="E650" s="6"/>
      <c r="F650" s="8"/>
      <c r="G650" s="8"/>
      <c r="H650" s="8"/>
      <c r="I650" s="15"/>
      <c r="J650" s="15"/>
      <c r="K650" s="10" t="str">
        <f aca="false">IF(J650&lt;&gt;"",J650,IF(I650="","",I650*IFERROR(INDEX(สินค้า!$G$2:$G$101,MATCH(B650,สินค้า!$A$2:$A$101,0)),0)))</f>
        <v/>
      </c>
      <c r="L650" s="16" t="str">
        <f aca="false">IF(OR(F650="",F650=0,G650=""),"",G650/F650)</f>
        <v/>
      </c>
      <c r="M650" s="16" t="str">
        <f aca="false">IF(OR(G650="",G650=0,H650=""),"",H650/G650)</f>
        <v/>
      </c>
    </row>
    <row r="651" customFormat="false" ht="15" hidden="false" customHeight="false" outlineLevel="0" collapsed="false">
      <c r="A651" s="12"/>
      <c r="B651" s="6"/>
      <c r="C651" s="13" t="str">
        <f aca="false">IF(B651="","",IFERROR(INDEX(สินค้า!$B$2:$B$101,MATCH(B651,สินค้า!$A$2:$A$101,0)),"ไม่พบรหัส"))</f>
        <v/>
      </c>
      <c r="D651" s="14" t="str">
        <f aca="false">IF(B651="","",IFERROR(INDEX(สินค้า!$D$2:$D$101,MATCH(B651,สินค้า!$A$2:$A$101,0)),""))</f>
        <v/>
      </c>
      <c r="E651" s="6"/>
      <c r="F651" s="8"/>
      <c r="G651" s="8"/>
      <c r="H651" s="8"/>
      <c r="I651" s="15"/>
      <c r="J651" s="15"/>
      <c r="K651" s="10" t="str">
        <f aca="false">IF(J651&lt;&gt;"",J651,IF(I651="","",I651*IFERROR(INDEX(สินค้า!$G$2:$G$101,MATCH(B651,สินค้า!$A$2:$A$101,0)),0)))</f>
        <v/>
      </c>
      <c r="L651" s="16" t="str">
        <f aca="false">IF(OR(F651="",F651=0,G651=""),"",G651/F651)</f>
        <v/>
      </c>
      <c r="M651" s="16" t="str">
        <f aca="false">IF(OR(G651="",G651=0,H651=""),"",H651/G651)</f>
        <v/>
      </c>
    </row>
    <row r="652" customFormat="false" ht="15" hidden="false" customHeight="false" outlineLevel="0" collapsed="false">
      <c r="A652" s="12"/>
      <c r="B652" s="6"/>
      <c r="C652" s="13" t="str">
        <f aca="false">IF(B652="","",IFERROR(INDEX(สินค้า!$B$2:$B$101,MATCH(B652,สินค้า!$A$2:$A$101,0)),"ไม่พบรหัส"))</f>
        <v/>
      </c>
      <c r="D652" s="14" t="str">
        <f aca="false">IF(B652="","",IFERROR(INDEX(สินค้า!$D$2:$D$101,MATCH(B652,สินค้า!$A$2:$A$101,0)),""))</f>
        <v/>
      </c>
      <c r="E652" s="6"/>
      <c r="F652" s="8"/>
      <c r="G652" s="8"/>
      <c r="H652" s="8"/>
      <c r="I652" s="15"/>
      <c r="J652" s="15"/>
      <c r="K652" s="10" t="str">
        <f aca="false">IF(J652&lt;&gt;"",J652,IF(I652="","",I652*IFERROR(INDEX(สินค้า!$G$2:$G$101,MATCH(B652,สินค้า!$A$2:$A$101,0)),0)))</f>
        <v/>
      </c>
      <c r="L652" s="16" t="str">
        <f aca="false">IF(OR(F652="",F652=0,G652=""),"",G652/F652)</f>
        <v/>
      </c>
      <c r="M652" s="16" t="str">
        <f aca="false">IF(OR(G652="",G652=0,H652=""),"",H652/G652)</f>
        <v/>
      </c>
    </row>
    <row r="653" customFormat="false" ht="15" hidden="false" customHeight="false" outlineLevel="0" collapsed="false">
      <c r="A653" s="12"/>
      <c r="B653" s="6"/>
      <c r="C653" s="13" t="str">
        <f aca="false">IF(B653="","",IFERROR(INDEX(สินค้า!$B$2:$B$101,MATCH(B653,สินค้า!$A$2:$A$101,0)),"ไม่พบรหัส"))</f>
        <v/>
      </c>
      <c r="D653" s="14" t="str">
        <f aca="false">IF(B653="","",IFERROR(INDEX(สินค้า!$D$2:$D$101,MATCH(B653,สินค้า!$A$2:$A$101,0)),""))</f>
        <v/>
      </c>
      <c r="E653" s="6"/>
      <c r="F653" s="8"/>
      <c r="G653" s="8"/>
      <c r="H653" s="8"/>
      <c r="I653" s="15"/>
      <c r="J653" s="15"/>
      <c r="K653" s="10" t="str">
        <f aca="false">IF(J653&lt;&gt;"",J653,IF(I653="","",I653*IFERROR(INDEX(สินค้า!$G$2:$G$101,MATCH(B653,สินค้า!$A$2:$A$101,0)),0)))</f>
        <v/>
      </c>
      <c r="L653" s="16" t="str">
        <f aca="false">IF(OR(F653="",F653=0,G653=""),"",G653/F653)</f>
        <v/>
      </c>
      <c r="M653" s="16" t="str">
        <f aca="false">IF(OR(G653="",G653=0,H653=""),"",H653/G653)</f>
        <v/>
      </c>
    </row>
    <row r="654" customFormat="false" ht="15" hidden="false" customHeight="false" outlineLevel="0" collapsed="false">
      <c r="A654" s="12"/>
      <c r="B654" s="6"/>
      <c r="C654" s="13" t="str">
        <f aca="false">IF(B654="","",IFERROR(INDEX(สินค้า!$B$2:$B$101,MATCH(B654,สินค้า!$A$2:$A$101,0)),"ไม่พบรหัส"))</f>
        <v/>
      </c>
      <c r="D654" s="14" t="str">
        <f aca="false">IF(B654="","",IFERROR(INDEX(สินค้า!$D$2:$D$101,MATCH(B654,สินค้า!$A$2:$A$101,0)),""))</f>
        <v/>
      </c>
      <c r="E654" s="6"/>
      <c r="F654" s="8"/>
      <c r="G654" s="8"/>
      <c r="H654" s="8"/>
      <c r="I654" s="15"/>
      <c r="J654" s="15"/>
      <c r="K654" s="10" t="str">
        <f aca="false">IF(J654&lt;&gt;"",J654,IF(I654="","",I654*IFERROR(INDEX(สินค้า!$G$2:$G$101,MATCH(B654,สินค้า!$A$2:$A$101,0)),0)))</f>
        <v/>
      </c>
      <c r="L654" s="16" t="str">
        <f aca="false">IF(OR(F654="",F654=0,G654=""),"",G654/F654)</f>
        <v/>
      </c>
      <c r="M654" s="16" t="str">
        <f aca="false">IF(OR(G654="",G654=0,H654=""),"",H654/G654)</f>
        <v/>
      </c>
    </row>
    <row r="655" customFormat="false" ht="15" hidden="false" customHeight="false" outlineLevel="0" collapsed="false">
      <c r="A655" s="12"/>
      <c r="B655" s="6"/>
      <c r="C655" s="13" t="str">
        <f aca="false">IF(B655="","",IFERROR(INDEX(สินค้า!$B$2:$B$101,MATCH(B655,สินค้า!$A$2:$A$101,0)),"ไม่พบรหัส"))</f>
        <v/>
      </c>
      <c r="D655" s="14" t="str">
        <f aca="false">IF(B655="","",IFERROR(INDEX(สินค้า!$D$2:$D$101,MATCH(B655,สินค้า!$A$2:$A$101,0)),""))</f>
        <v/>
      </c>
      <c r="E655" s="6"/>
      <c r="F655" s="8"/>
      <c r="G655" s="8"/>
      <c r="H655" s="8"/>
      <c r="I655" s="15"/>
      <c r="J655" s="15"/>
      <c r="K655" s="10" t="str">
        <f aca="false">IF(J655&lt;&gt;"",J655,IF(I655="","",I655*IFERROR(INDEX(สินค้า!$G$2:$G$101,MATCH(B655,สินค้า!$A$2:$A$101,0)),0)))</f>
        <v/>
      </c>
      <c r="L655" s="16" t="str">
        <f aca="false">IF(OR(F655="",F655=0,G655=""),"",G655/F655)</f>
        <v/>
      </c>
      <c r="M655" s="16" t="str">
        <f aca="false">IF(OR(G655="",G655=0,H655=""),"",H655/G655)</f>
        <v/>
      </c>
    </row>
    <row r="656" customFormat="false" ht="15" hidden="false" customHeight="false" outlineLevel="0" collapsed="false">
      <c r="A656" s="12"/>
      <c r="B656" s="6"/>
      <c r="C656" s="13" t="str">
        <f aca="false">IF(B656="","",IFERROR(INDEX(สินค้า!$B$2:$B$101,MATCH(B656,สินค้า!$A$2:$A$101,0)),"ไม่พบรหัส"))</f>
        <v/>
      </c>
      <c r="D656" s="14" t="str">
        <f aca="false">IF(B656="","",IFERROR(INDEX(สินค้า!$D$2:$D$101,MATCH(B656,สินค้า!$A$2:$A$101,0)),""))</f>
        <v/>
      </c>
      <c r="E656" s="6"/>
      <c r="F656" s="8"/>
      <c r="G656" s="8"/>
      <c r="H656" s="8"/>
      <c r="I656" s="15"/>
      <c r="J656" s="15"/>
      <c r="K656" s="10" t="str">
        <f aca="false">IF(J656&lt;&gt;"",J656,IF(I656="","",I656*IFERROR(INDEX(สินค้า!$G$2:$G$101,MATCH(B656,สินค้า!$A$2:$A$101,0)),0)))</f>
        <v/>
      </c>
      <c r="L656" s="16" t="str">
        <f aca="false">IF(OR(F656="",F656=0,G656=""),"",G656/F656)</f>
        <v/>
      </c>
      <c r="M656" s="16" t="str">
        <f aca="false">IF(OR(G656="",G656=0,H656=""),"",H656/G656)</f>
        <v/>
      </c>
    </row>
    <row r="657" customFormat="false" ht="15" hidden="false" customHeight="false" outlineLevel="0" collapsed="false">
      <c r="A657" s="12"/>
      <c r="B657" s="6"/>
      <c r="C657" s="13" t="str">
        <f aca="false">IF(B657="","",IFERROR(INDEX(สินค้า!$B$2:$B$101,MATCH(B657,สินค้า!$A$2:$A$101,0)),"ไม่พบรหัส"))</f>
        <v/>
      </c>
      <c r="D657" s="14" t="str">
        <f aca="false">IF(B657="","",IFERROR(INDEX(สินค้า!$D$2:$D$101,MATCH(B657,สินค้า!$A$2:$A$101,0)),""))</f>
        <v/>
      </c>
      <c r="E657" s="6"/>
      <c r="F657" s="8"/>
      <c r="G657" s="8"/>
      <c r="H657" s="8"/>
      <c r="I657" s="15"/>
      <c r="J657" s="15"/>
      <c r="K657" s="10" t="str">
        <f aca="false">IF(J657&lt;&gt;"",J657,IF(I657="","",I657*IFERROR(INDEX(สินค้า!$G$2:$G$101,MATCH(B657,สินค้า!$A$2:$A$101,0)),0)))</f>
        <v/>
      </c>
      <c r="L657" s="16" t="str">
        <f aca="false">IF(OR(F657="",F657=0,G657=""),"",G657/F657)</f>
        <v/>
      </c>
      <c r="M657" s="16" t="str">
        <f aca="false">IF(OR(G657="",G657=0,H657=""),"",H657/G657)</f>
        <v/>
      </c>
    </row>
    <row r="658" customFormat="false" ht="15" hidden="false" customHeight="false" outlineLevel="0" collapsed="false">
      <c r="A658" s="12"/>
      <c r="B658" s="6"/>
      <c r="C658" s="13" t="str">
        <f aca="false">IF(B658="","",IFERROR(INDEX(สินค้า!$B$2:$B$101,MATCH(B658,สินค้า!$A$2:$A$101,0)),"ไม่พบรหัส"))</f>
        <v/>
      </c>
      <c r="D658" s="14" t="str">
        <f aca="false">IF(B658="","",IFERROR(INDEX(สินค้า!$D$2:$D$101,MATCH(B658,สินค้า!$A$2:$A$101,0)),""))</f>
        <v/>
      </c>
      <c r="E658" s="6"/>
      <c r="F658" s="8"/>
      <c r="G658" s="8"/>
      <c r="H658" s="8"/>
      <c r="I658" s="15"/>
      <c r="J658" s="15"/>
      <c r="K658" s="10" t="str">
        <f aca="false">IF(J658&lt;&gt;"",J658,IF(I658="","",I658*IFERROR(INDEX(สินค้า!$G$2:$G$101,MATCH(B658,สินค้า!$A$2:$A$101,0)),0)))</f>
        <v/>
      </c>
      <c r="L658" s="16" t="str">
        <f aca="false">IF(OR(F658="",F658=0,G658=""),"",G658/F658)</f>
        <v/>
      </c>
      <c r="M658" s="16" t="str">
        <f aca="false">IF(OR(G658="",G658=0,H658=""),"",H658/G658)</f>
        <v/>
      </c>
    </row>
    <row r="659" customFormat="false" ht="15" hidden="false" customHeight="false" outlineLevel="0" collapsed="false">
      <c r="A659" s="12"/>
      <c r="B659" s="6"/>
      <c r="C659" s="13" t="str">
        <f aca="false">IF(B659="","",IFERROR(INDEX(สินค้า!$B$2:$B$101,MATCH(B659,สินค้า!$A$2:$A$101,0)),"ไม่พบรหัส"))</f>
        <v/>
      </c>
      <c r="D659" s="14" t="str">
        <f aca="false">IF(B659="","",IFERROR(INDEX(สินค้า!$D$2:$D$101,MATCH(B659,สินค้า!$A$2:$A$101,0)),""))</f>
        <v/>
      </c>
      <c r="E659" s="6"/>
      <c r="F659" s="8"/>
      <c r="G659" s="8"/>
      <c r="H659" s="8"/>
      <c r="I659" s="15"/>
      <c r="J659" s="15"/>
      <c r="K659" s="10" t="str">
        <f aca="false">IF(J659&lt;&gt;"",J659,IF(I659="","",I659*IFERROR(INDEX(สินค้า!$G$2:$G$101,MATCH(B659,สินค้า!$A$2:$A$101,0)),0)))</f>
        <v/>
      </c>
      <c r="L659" s="16" t="str">
        <f aca="false">IF(OR(F659="",F659=0,G659=""),"",G659/F659)</f>
        <v/>
      </c>
      <c r="M659" s="16" t="str">
        <f aca="false">IF(OR(G659="",G659=0,H659=""),"",H659/G659)</f>
        <v/>
      </c>
    </row>
    <row r="660" customFormat="false" ht="15" hidden="false" customHeight="false" outlineLevel="0" collapsed="false">
      <c r="A660" s="12"/>
      <c r="B660" s="6"/>
      <c r="C660" s="13" t="str">
        <f aca="false">IF(B660="","",IFERROR(INDEX(สินค้า!$B$2:$B$101,MATCH(B660,สินค้า!$A$2:$A$101,0)),"ไม่พบรหัส"))</f>
        <v/>
      </c>
      <c r="D660" s="14" t="str">
        <f aca="false">IF(B660="","",IFERROR(INDEX(สินค้า!$D$2:$D$101,MATCH(B660,สินค้า!$A$2:$A$101,0)),""))</f>
        <v/>
      </c>
      <c r="E660" s="6"/>
      <c r="F660" s="8"/>
      <c r="G660" s="8"/>
      <c r="H660" s="8"/>
      <c r="I660" s="15"/>
      <c r="J660" s="15"/>
      <c r="K660" s="10" t="str">
        <f aca="false">IF(J660&lt;&gt;"",J660,IF(I660="","",I660*IFERROR(INDEX(สินค้า!$G$2:$G$101,MATCH(B660,สินค้า!$A$2:$A$101,0)),0)))</f>
        <v/>
      </c>
      <c r="L660" s="16" t="str">
        <f aca="false">IF(OR(F660="",F660=0,G660=""),"",G660/F660)</f>
        <v/>
      </c>
      <c r="M660" s="16" t="str">
        <f aca="false">IF(OR(G660="",G660=0,H660=""),"",H660/G660)</f>
        <v/>
      </c>
    </row>
    <row r="661" customFormat="false" ht="15" hidden="false" customHeight="false" outlineLevel="0" collapsed="false">
      <c r="A661" s="12"/>
      <c r="B661" s="6"/>
      <c r="C661" s="13" t="str">
        <f aca="false">IF(B661="","",IFERROR(INDEX(สินค้า!$B$2:$B$101,MATCH(B661,สินค้า!$A$2:$A$101,0)),"ไม่พบรหัส"))</f>
        <v/>
      </c>
      <c r="D661" s="14" t="str">
        <f aca="false">IF(B661="","",IFERROR(INDEX(สินค้า!$D$2:$D$101,MATCH(B661,สินค้า!$A$2:$A$101,0)),""))</f>
        <v/>
      </c>
      <c r="E661" s="6"/>
      <c r="F661" s="8"/>
      <c r="G661" s="8"/>
      <c r="H661" s="8"/>
      <c r="I661" s="15"/>
      <c r="J661" s="15"/>
      <c r="K661" s="10" t="str">
        <f aca="false">IF(J661&lt;&gt;"",J661,IF(I661="","",I661*IFERROR(INDEX(สินค้า!$G$2:$G$101,MATCH(B661,สินค้า!$A$2:$A$101,0)),0)))</f>
        <v/>
      </c>
      <c r="L661" s="16" t="str">
        <f aca="false">IF(OR(F661="",F661=0,G661=""),"",G661/F661)</f>
        <v/>
      </c>
      <c r="M661" s="16" t="str">
        <f aca="false">IF(OR(G661="",G661=0,H661=""),"",H661/G661)</f>
        <v/>
      </c>
    </row>
    <row r="662" customFormat="false" ht="15" hidden="false" customHeight="false" outlineLevel="0" collapsed="false">
      <c r="A662" s="12"/>
      <c r="B662" s="6"/>
      <c r="C662" s="13" t="str">
        <f aca="false">IF(B662="","",IFERROR(INDEX(สินค้า!$B$2:$B$101,MATCH(B662,สินค้า!$A$2:$A$101,0)),"ไม่พบรหัส"))</f>
        <v/>
      </c>
      <c r="D662" s="14" t="str">
        <f aca="false">IF(B662="","",IFERROR(INDEX(สินค้า!$D$2:$D$101,MATCH(B662,สินค้า!$A$2:$A$101,0)),""))</f>
        <v/>
      </c>
      <c r="E662" s="6"/>
      <c r="F662" s="8"/>
      <c r="G662" s="8"/>
      <c r="H662" s="8"/>
      <c r="I662" s="15"/>
      <c r="J662" s="15"/>
      <c r="K662" s="10" t="str">
        <f aca="false">IF(J662&lt;&gt;"",J662,IF(I662="","",I662*IFERROR(INDEX(สินค้า!$G$2:$G$101,MATCH(B662,สินค้า!$A$2:$A$101,0)),0)))</f>
        <v/>
      </c>
      <c r="L662" s="16" t="str">
        <f aca="false">IF(OR(F662="",F662=0,G662=""),"",G662/F662)</f>
        <v/>
      </c>
      <c r="M662" s="16" t="str">
        <f aca="false">IF(OR(G662="",G662=0,H662=""),"",H662/G662)</f>
        <v/>
      </c>
    </row>
    <row r="663" customFormat="false" ht="15" hidden="false" customHeight="false" outlineLevel="0" collapsed="false">
      <c r="A663" s="12"/>
      <c r="B663" s="6"/>
      <c r="C663" s="13" t="str">
        <f aca="false">IF(B663="","",IFERROR(INDEX(สินค้า!$B$2:$B$101,MATCH(B663,สินค้า!$A$2:$A$101,0)),"ไม่พบรหัส"))</f>
        <v/>
      </c>
      <c r="D663" s="14" t="str">
        <f aca="false">IF(B663="","",IFERROR(INDEX(สินค้า!$D$2:$D$101,MATCH(B663,สินค้า!$A$2:$A$101,0)),""))</f>
        <v/>
      </c>
      <c r="E663" s="6"/>
      <c r="F663" s="8"/>
      <c r="G663" s="8"/>
      <c r="H663" s="8"/>
      <c r="I663" s="15"/>
      <c r="J663" s="15"/>
      <c r="K663" s="10" t="str">
        <f aca="false">IF(J663&lt;&gt;"",J663,IF(I663="","",I663*IFERROR(INDEX(สินค้า!$G$2:$G$101,MATCH(B663,สินค้า!$A$2:$A$101,0)),0)))</f>
        <v/>
      </c>
      <c r="L663" s="16" t="str">
        <f aca="false">IF(OR(F663="",F663=0,G663=""),"",G663/F663)</f>
        <v/>
      </c>
      <c r="M663" s="16" t="str">
        <f aca="false">IF(OR(G663="",G663=0,H663=""),"",H663/G663)</f>
        <v/>
      </c>
    </row>
    <row r="664" customFormat="false" ht="15" hidden="false" customHeight="false" outlineLevel="0" collapsed="false">
      <c r="A664" s="12"/>
      <c r="B664" s="6"/>
      <c r="C664" s="13" t="str">
        <f aca="false">IF(B664="","",IFERROR(INDEX(สินค้า!$B$2:$B$101,MATCH(B664,สินค้า!$A$2:$A$101,0)),"ไม่พบรหัส"))</f>
        <v/>
      </c>
      <c r="D664" s="14" t="str">
        <f aca="false">IF(B664="","",IFERROR(INDEX(สินค้า!$D$2:$D$101,MATCH(B664,สินค้า!$A$2:$A$101,0)),""))</f>
        <v/>
      </c>
      <c r="E664" s="6"/>
      <c r="F664" s="8"/>
      <c r="G664" s="8"/>
      <c r="H664" s="8"/>
      <c r="I664" s="15"/>
      <c r="J664" s="15"/>
      <c r="K664" s="10" t="str">
        <f aca="false">IF(J664&lt;&gt;"",J664,IF(I664="","",I664*IFERROR(INDEX(สินค้า!$G$2:$G$101,MATCH(B664,สินค้า!$A$2:$A$101,0)),0)))</f>
        <v/>
      </c>
      <c r="L664" s="16" t="str">
        <f aca="false">IF(OR(F664="",F664=0,G664=""),"",G664/F664)</f>
        <v/>
      </c>
      <c r="M664" s="16" t="str">
        <f aca="false">IF(OR(G664="",G664=0,H664=""),"",H664/G664)</f>
        <v/>
      </c>
    </row>
    <row r="665" customFormat="false" ht="15" hidden="false" customHeight="false" outlineLevel="0" collapsed="false">
      <c r="A665" s="12"/>
      <c r="B665" s="6"/>
      <c r="C665" s="13" t="str">
        <f aca="false">IF(B665="","",IFERROR(INDEX(สินค้า!$B$2:$B$101,MATCH(B665,สินค้า!$A$2:$A$101,0)),"ไม่พบรหัส"))</f>
        <v/>
      </c>
      <c r="D665" s="14" t="str">
        <f aca="false">IF(B665="","",IFERROR(INDEX(สินค้า!$D$2:$D$101,MATCH(B665,สินค้า!$A$2:$A$101,0)),""))</f>
        <v/>
      </c>
      <c r="E665" s="6"/>
      <c r="F665" s="8"/>
      <c r="G665" s="8"/>
      <c r="H665" s="8"/>
      <c r="I665" s="15"/>
      <c r="J665" s="15"/>
      <c r="K665" s="10" t="str">
        <f aca="false">IF(J665&lt;&gt;"",J665,IF(I665="","",I665*IFERROR(INDEX(สินค้า!$G$2:$G$101,MATCH(B665,สินค้า!$A$2:$A$101,0)),0)))</f>
        <v/>
      </c>
      <c r="L665" s="16" t="str">
        <f aca="false">IF(OR(F665="",F665=0,G665=""),"",G665/F665)</f>
        <v/>
      </c>
      <c r="M665" s="16" t="str">
        <f aca="false">IF(OR(G665="",G665=0,H665=""),"",H665/G665)</f>
        <v/>
      </c>
    </row>
    <row r="666" customFormat="false" ht="15" hidden="false" customHeight="false" outlineLevel="0" collapsed="false">
      <c r="A666" s="12"/>
      <c r="B666" s="6"/>
      <c r="C666" s="13" t="str">
        <f aca="false">IF(B666="","",IFERROR(INDEX(สินค้า!$B$2:$B$101,MATCH(B666,สินค้า!$A$2:$A$101,0)),"ไม่พบรหัส"))</f>
        <v/>
      </c>
      <c r="D666" s="14" t="str">
        <f aca="false">IF(B666="","",IFERROR(INDEX(สินค้า!$D$2:$D$101,MATCH(B666,สินค้า!$A$2:$A$101,0)),""))</f>
        <v/>
      </c>
      <c r="E666" s="6"/>
      <c r="F666" s="8"/>
      <c r="G666" s="8"/>
      <c r="H666" s="8"/>
      <c r="I666" s="15"/>
      <c r="J666" s="15"/>
      <c r="K666" s="10" t="str">
        <f aca="false">IF(J666&lt;&gt;"",J666,IF(I666="","",I666*IFERROR(INDEX(สินค้า!$G$2:$G$101,MATCH(B666,สินค้า!$A$2:$A$101,0)),0)))</f>
        <v/>
      </c>
      <c r="L666" s="16" t="str">
        <f aca="false">IF(OR(F666="",F666=0,G666=""),"",G666/F666)</f>
        <v/>
      </c>
      <c r="M666" s="16" t="str">
        <f aca="false">IF(OR(G666="",G666=0,H666=""),"",H666/G666)</f>
        <v/>
      </c>
    </row>
    <row r="667" customFormat="false" ht="15" hidden="false" customHeight="false" outlineLevel="0" collapsed="false">
      <c r="A667" s="12"/>
      <c r="B667" s="6"/>
      <c r="C667" s="13" t="str">
        <f aca="false">IF(B667="","",IFERROR(INDEX(สินค้า!$B$2:$B$101,MATCH(B667,สินค้า!$A$2:$A$101,0)),"ไม่พบรหัส"))</f>
        <v/>
      </c>
      <c r="D667" s="14" t="str">
        <f aca="false">IF(B667="","",IFERROR(INDEX(สินค้า!$D$2:$D$101,MATCH(B667,สินค้า!$A$2:$A$101,0)),""))</f>
        <v/>
      </c>
      <c r="E667" s="6"/>
      <c r="F667" s="8"/>
      <c r="G667" s="8"/>
      <c r="H667" s="8"/>
      <c r="I667" s="15"/>
      <c r="J667" s="15"/>
      <c r="K667" s="10" t="str">
        <f aca="false">IF(J667&lt;&gt;"",J667,IF(I667="","",I667*IFERROR(INDEX(สินค้า!$G$2:$G$101,MATCH(B667,สินค้า!$A$2:$A$101,0)),0)))</f>
        <v/>
      </c>
      <c r="L667" s="16" t="str">
        <f aca="false">IF(OR(F667="",F667=0,G667=""),"",G667/F667)</f>
        <v/>
      </c>
      <c r="M667" s="16" t="str">
        <f aca="false">IF(OR(G667="",G667=0,H667=""),"",H667/G667)</f>
        <v/>
      </c>
    </row>
    <row r="668" customFormat="false" ht="15" hidden="false" customHeight="false" outlineLevel="0" collapsed="false">
      <c r="A668" s="12"/>
      <c r="B668" s="6"/>
      <c r="C668" s="13" t="str">
        <f aca="false">IF(B668="","",IFERROR(INDEX(สินค้า!$B$2:$B$101,MATCH(B668,สินค้า!$A$2:$A$101,0)),"ไม่พบรหัส"))</f>
        <v/>
      </c>
      <c r="D668" s="14" t="str">
        <f aca="false">IF(B668="","",IFERROR(INDEX(สินค้า!$D$2:$D$101,MATCH(B668,สินค้า!$A$2:$A$101,0)),""))</f>
        <v/>
      </c>
      <c r="E668" s="6"/>
      <c r="F668" s="8"/>
      <c r="G668" s="8"/>
      <c r="H668" s="8"/>
      <c r="I668" s="15"/>
      <c r="J668" s="15"/>
      <c r="K668" s="10" t="str">
        <f aca="false">IF(J668&lt;&gt;"",J668,IF(I668="","",I668*IFERROR(INDEX(สินค้า!$G$2:$G$101,MATCH(B668,สินค้า!$A$2:$A$101,0)),0)))</f>
        <v/>
      </c>
      <c r="L668" s="16" t="str">
        <f aca="false">IF(OR(F668="",F668=0,G668=""),"",G668/F668)</f>
        <v/>
      </c>
      <c r="M668" s="16" t="str">
        <f aca="false">IF(OR(G668="",G668=0,H668=""),"",H668/G668)</f>
        <v/>
      </c>
    </row>
    <row r="669" customFormat="false" ht="15" hidden="false" customHeight="false" outlineLevel="0" collapsed="false">
      <c r="A669" s="12"/>
      <c r="B669" s="6"/>
      <c r="C669" s="13" t="str">
        <f aca="false">IF(B669="","",IFERROR(INDEX(สินค้า!$B$2:$B$101,MATCH(B669,สินค้า!$A$2:$A$101,0)),"ไม่พบรหัส"))</f>
        <v/>
      </c>
      <c r="D669" s="14" t="str">
        <f aca="false">IF(B669="","",IFERROR(INDEX(สินค้า!$D$2:$D$101,MATCH(B669,สินค้า!$A$2:$A$101,0)),""))</f>
        <v/>
      </c>
      <c r="E669" s="6"/>
      <c r="F669" s="8"/>
      <c r="G669" s="8"/>
      <c r="H669" s="8"/>
      <c r="I669" s="15"/>
      <c r="J669" s="15"/>
      <c r="K669" s="10" t="str">
        <f aca="false">IF(J669&lt;&gt;"",J669,IF(I669="","",I669*IFERROR(INDEX(สินค้า!$G$2:$G$101,MATCH(B669,สินค้า!$A$2:$A$101,0)),0)))</f>
        <v/>
      </c>
      <c r="L669" s="16" t="str">
        <f aca="false">IF(OR(F669="",F669=0,G669=""),"",G669/F669)</f>
        <v/>
      </c>
      <c r="M669" s="16" t="str">
        <f aca="false">IF(OR(G669="",G669=0,H669=""),"",H669/G669)</f>
        <v/>
      </c>
    </row>
    <row r="670" customFormat="false" ht="15" hidden="false" customHeight="false" outlineLevel="0" collapsed="false">
      <c r="A670" s="12"/>
      <c r="B670" s="6"/>
      <c r="C670" s="13" t="str">
        <f aca="false">IF(B670="","",IFERROR(INDEX(สินค้า!$B$2:$B$101,MATCH(B670,สินค้า!$A$2:$A$101,0)),"ไม่พบรหัส"))</f>
        <v/>
      </c>
      <c r="D670" s="14" t="str">
        <f aca="false">IF(B670="","",IFERROR(INDEX(สินค้า!$D$2:$D$101,MATCH(B670,สินค้า!$A$2:$A$101,0)),""))</f>
        <v/>
      </c>
      <c r="E670" s="6"/>
      <c r="F670" s="8"/>
      <c r="G670" s="8"/>
      <c r="H670" s="8"/>
      <c r="I670" s="15"/>
      <c r="J670" s="15"/>
      <c r="K670" s="10" t="str">
        <f aca="false">IF(J670&lt;&gt;"",J670,IF(I670="","",I670*IFERROR(INDEX(สินค้า!$G$2:$G$101,MATCH(B670,สินค้า!$A$2:$A$101,0)),0)))</f>
        <v/>
      </c>
      <c r="L670" s="16" t="str">
        <f aca="false">IF(OR(F670="",F670=0,G670=""),"",G670/F670)</f>
        <v/>
      </c>
      <c r="M670" s="16" t="str">
        <f aca="false">IF(OR(G670="",G670=0,H670=""),"",H670/G670)</f>
        <v/>
      </c>
    </row>
    <row r="671" customFormat="false" ht="15" hidden="false" customHeight="false" outlineLevel="0" collapsed="false">
      <c r="A671" s="12"/>
      <c r="B671" s="6"/>
      <c r="C671" s="13" t="str">
        <f aca="false">IF(B671="","",IFERROR(INDEX(สินค้า!$B$2:$B$101,MATCH(B671,สินค้า!$A$2:$A$101,0)),"ไม่พบรหัส"))</f>
        <v/>
      </c>
      <c r="D671" s="14" t="str">
        <f aca="false">IF(B671="","",IFERROR(INDEX(สินค้า!$D$2:$D$101,MATCH(B671,สินค้า!$A$2:$A$101,0)),""))</f>
        <v/>
      </c>
      <c r="E671" s="6"/>
      <c r="F671" s="8"/>
      <c r="G671" s="8"/>
      <c r="H671" s="8"/>
      <c r="I671" s="15"/>
      <c r="J671" s="15"/>
      <c r="K671" s="10" t="str">
        <f aca="false">IF(J671&lt;&gt;"",J671,IF(I671="","",I671*IFERROR(INDEX(สินค้า!$G$2:$G$101,MATCH(B671,สินค้า!$A$2:$A$101,0)),0)))</f>
        <v/>
      </c>
      <c r="L671" s="16" t="str">
        <f aca="false">IF(OR(F671="",F671=0,G671=""),"",G671/F671)</f>
        <v/>
      </c>
      <c r="M671" s="16" t="str">
        <f aca="false">IF(OR(G671="",G671=0,H671=""),"",H671/G671)</f>
        <v/>
      </c>
    </row>
    <row r="672" customFormat="false" ht="15" hidden="false" customHeight="false" outlineLevel="0" collapsed="false">
      <c r="A672" s="12"/>
      <c r="B672" s="6"/>
      <c r="C672" s="13" t="str">
        <f aca="false">IF(B672="","",IFERROR(INDEX(สินค้า!$B$2:$B$101,MATCH(B672,สินค้า!$A$2:$A$101,0)),"ไม่พบรหัส"))</f>
        <v/>
      </c>
      <c r="D672" s="14" t="str">
        <f aca="false">IF(B672="","",IFERROR(INDEX(สินค้า!$D$2:$D$101,MATCH(B672,สินค้า!$A$2:$A$101,0)),""))</f>
        <v/>
      </c>
      <c r="E672" s="6"/>
      <c r="F672" s="8"/>
      <c r="G672" s="8"/>
      <c r="H672" s="8"/>
      <c r="I672" s="15"/>
      <c r="J672" s="15"/>
      <c r="K672" s="10" t="str">
        <f aca="false">IF(J672&lt;&gt;"",J672,IF(I672="","",I672*IFERROR(INDEX(สินค้า!$G$2:$G$101,MATCH(B672,สินค้า!$A$2:$A$101,0)),0)))</f>
        <v/>
      </c>
      <c r="L672" s="16" t="str">
        <f aca="false">IF(OR(F672="",F672=0,G672=""),"",G672/F672)</f>
        <v/>
      </c>
      <c r="M672" s="16" t="str">
        <f aca="false">IF(OR(G672="",G672=0,H672=""),"",H672/G672)</f>
        <v/>
      </c>
    </row>
    <row r="673" customFormat="false" ht="15" hidden="false" customHeight="false" outlineLevel="0" collapsed="false">
      <c r="A673" s="12"/>
      <c r="B673" s="6"/>
      <c r="C673" s="13" t="str">
        <f aca="false">IF(B673="","",IFERROR(INDEX(สินค้า!$B$2:$B$101,MATCH(B673,สินค้า!$A$2:$A$101,0)),"ไม่พบรหัส"))</f>
        <v/>
      </c>
      <c r="D673" s="14" t="str">
        <f aca="false">IF(B673="","",IFERROR(INDEX(สินค้า!$D$2:$D$101,MATCH(B673,สินค้า!$A$2:$A$101,0)),""))</f>
        <v/>
      </c>
      <c r="E673" s="6"/>
      <c r="F673" s="8"/>
      <c r="G673" s="8"/>
      <c r="H673" s="8"/>
      <c r="I673" s="15"/>
      <c r="J673" s="15"/>
      <c r="K673" s="10" t="str">
        <f aca="false">IF(J673&lt;&gt;"",J673,IF(I673="","",I673*IFERROR(INDEX(สินค้า!$G$2:$G$101,MATCH(B673,สินค้า!$A$2:$A$101,0)),0)))</f>
        <v/>
      </c>
      <c r="L673" s="16" t="str">
        <f aca="false">IF(OR(F673="",F673=0,G673=""),"",G673/F673)</f>
        <v/>
      </c>
      <c r="M673" s="16" t="str">
        <f aca="false">IF(OR(G673="",G673=0,H673=""),"",H673/G673)</f>
        <v/>
      </c>
    </row>
    <row r="674" customFormat="false" ht="15" hidden="false" customHeight="false" outlineLevel="0" collapsed="false">
      <c r="A674" s="12"/>
      <c r="B674" s="6"/>
      <c r="C674" s="13" t="str">
        <f aca="false">IF(B674="","",IFERROR(INDEX(สินค้า!$B$2:$B$101,MATCH(B674,สินค้า!$A$2:$A$101,0)),"ไม่พบรหัส"))</f>
        <v/>
      </c>
      <c r="D674" s="14" t="str">
        <f aca="false">IF(B674="","",IFERROR(INDEX(สินค้า!$D$2:$D$101,MATCH(B674,สินค้า!$A$2:$A$101,0)),""))</f>
        <v/>
      </c>
      <c r="E674" s="6"/>
      <c r="F674" s="8"/>
      <c r="G674" s="8"/>
      <c r="H674" s="8"/>
      <c r="I674" s="15"/>
      <c r="J674" s="15"/>
      <c r="K674" s="10" t="str">
        <f aca="false">IF(J674&lt;&gt;"",J674,IF(I674="","",I674*IFERROR(INDEX(สินค้า!$G$2:$G$101,MATCH(B674,สินค้า!$A$2:$A$101,0)),0)))</f>
        <v/>
      </c>
      <c r="L674" s="16" t="str">
        <f aca="false">IF(OR(F674="",F674=0,G674=""),"",G674/F674)</f>
        <v/>
      </c>
      <c r="M674" s="16" t="str">
        <f aca="false">IF(OR(G674="",G674=0,H674=""),"",H674/G674)</f>
        <v/>
      </c>
    </row>
    <row r="675" customFormat="false" ht="15" hidden="false" customHeight="false" outlineLevel="0" collapsed="false">
      <c r="A675" s="12"/>
      <c r="B675" s="6"/>
      <c r="C675" s="13" t="str">
        <f aca="false">IF(B675="","",IFERROR(INDEX(สินค้า!$B$2:$B$101,MATCH(B675,สินค้า!$A$2:$A$101,0)),"ไม่พบรหัส"))</f>
        <v/>
      </c>
      <c r="D675" s="14" t="str">
        <f aca="false">IF(B675="","",IFERROR(INDEX(สินค้า!$D$2:$D$101,MATCH(B675,สินค้า!$A$2:$A$101,0)),""))</f>
        <v/>
      </c>
      <c r="E675" s="6"/>
      <c r="F675" s="8"/>
      <c r="G675" s="8"/>
      <c r="H675" s="8"/>
      <c r="I675" s="15"/>
      <c r="J675" s="15"/>
      <c r="K675" s="10" t="str">
        <f aca="false">IF(J675&lt;&gt;"",J675,IF(I675="","",I675*IFERROR(INDEX(สินค้า!$G$2:$G$101,MATCH(B675,สินค้า!$A$2:$A$101,0)),0)))</f>
        <v/>
      </c>
      <c r="L675" s="16" t="str">
        <f aca="false">IF(OR(F675="",F675=0,G675=""),"",G675/F675)</f>
        <v/>
      </c>
      <c r="M675" s="16" t="str">
        <f aca="false">IF(OR(G675="",G675=0,H675=""),"",H675/G675)</f>
        <v/>
      </c>
    </row>
    <row r="676" customFormat="false" ht="15" hidden="false" customHeight="false" outlineLevel="0" collapsed="false">
      <c r="A676" s="12"/>
      <c r="B676" s="6"/>
      <c r="C676" s="13" t="str">
        <f aca="false">IF(B676="","",IFERROR(INDEX(สินค้า!$B$2:$B$101,MATCH(B676,สินค้า!$A$2:$A$101,0)),"ไม่พบรหัส"))</f>
        <v/>
      </c>
      <c r="D676" s="14" t="str">
        <f aca="false">IF(B676="","",IFERROR(INDEX(สินค้า!$D$2:$D$101,MATCH(B676,สินค้า!$A$2:$A$101,0)),""))</f>
        <v/>
      </c>
      <c r="E676" s="6"/>
      <c r="F676" s="8"/>
      <c r="G676" s="8"/>
      <c r="H676" s="8"/>
      <c r="I676" s="15"/>
      <c r="J676" s="15"/>
      <c r="K676" s="10" t="str">
        <f aca="false">IF(J676&lt;&gt;"",J676,IF(I676="","",I676*IFERROR(INDEX(สินค้า!$G$2:$G$101,MATCH(B676,สินค้า!$A$2:$A$101,0)),0)))</f>
        <v/>
      </c>
      <c r="L676" s="16" t="str">
        <f aca="false">IF(OR(F676="",F676=0,G676=""),"",G676/F676)</f>
        <v/>
      </c>
      <c r="M676" s="16" t="str">
        <f aca="false">IF(OR(G676="",G676=0,H676=""),"",H676/G676)</f>
        <v/>
      </c>
    </row>
    <row r="677" customFormat="false" ht="15" hidden="false" customHeight="false" outlineLevel="0" collapsed="false">
      <c r="A677" s="12"/>
      <c r="B677" s="6"/>
      <c r="C677" s="13" t="str">
        <f aca="false">IF(B677="","",IFERROR(INDEX(สินค้า!$B$2:$B$101,MATCH(B677,สินค้า!$A$2:$A$101,0)),"ไม่พบรหัส"))</f>
        <v/>
      </c>
      <c r="D677" s="14" t="str">
        <f aca="false">IF(B677="","",IFERROR(INDEX(สินค้า!$D$2:$D$101,MATCH(B677,สินค้า!$A$2:$A$101,0)),""))</f>
        <v/>
      </c>
      <c r="E677" s="6"/>
      <c r="F677" s="8"/>
      <c r="G677" s="8"/>
      <c r="H677" s="8"/>
      <c r="I677" s="15"/>
      <c r="J677" s="15"/>
      <c r="K677" s="10" t="str">
        <f aca="false">IF(J677&lt;&gt;"",J677,IF(I677="","",I677*IFERROR(INDEX(สินค้า!$G$2:$G$101,MATCH(B677,สินค้า!$A$2:$A$101,0)),0)))</f>
        <v/>
      </c>
      <c r="L677" s="16" t="str">
        <f aca="false">IF(OR(F677="",F677=0,G677=""),"",G677/F677)</f>
        <v/>
      </c>
      <c r="M677" s="16" t="str">
        <f aca="false">IF(OR(G677="",G677=0,H677=""),"",H677/G677)</f>
        <v/>
      </c>
    </row>
    <row r="678" customFormat="false" ht="15" hidden="false" customHeight="false" outlineLevel="0" collapsed="false">
      <c r="A678" s="12"/>
      <c r="B678" s="6"/>
      <c r="C678" s="13" t="str">
        <f aca="false">IF(B678="","",IFERROR(INDEX(สินค้า!$B$2:$B$101,MATCH(B678,สินค้า!$A$2:$A$101,0)),"ไม่พบรหัส"))</f>
        <v/>
      </c>
      <c r="D678" s="14" t="str">
        <f aca="false">IF(B678="","",IFERROR(INDEX(สินค้า!$D$2:$D$101,MATCH(B678,สินค้า!$A$2:$A$101,0)),""))</f>
        <v/>
      </c>
      <c r="E678" s="6"/>
      <c r="F678" s="8"/>
      <c r="G678" s="8"/>
      <c r="H678" s="8"/>
      <c r="I678" s="15"/>
      <c r="J678" s="15"/>
      <c r="K678" s="10" t="str">
        <f aca="false">IF(J678&lt;&gt;"",J678,IF(I678="","",I678*IFERROR(INDEX(สินค้า!$G$2:$G$101,MATCH(B678,สินค้า!$A$2:$A$101,0)),0)))</f>
        <v/>
      </c>
      <c r="L678" s="16" t="str">
        <f aca="false">IF(OR(F678="",F678=0,G678=""),"",G678/F678)</f>
        <v/>
      </c>
      <c r="M678" s="16" t="str">
        <f aca="false">IF(OR(G678="",G678=0,H678=""),"",H678/G678)</f>
        <v/>
      </c>
    </row>
    <row r="679" customFormat="false" ht="15" hidden="false" customHeight="false" outlineLevel="0" collapsed="false">
      <c r="A679" s="12"/>
      <c r="B679" s="6"/>
      <c r="C679" s="13" t="str">
        <f aca="false">IF(B679="","",IFERROR(INDEX(สินค้า!$B$2:$B$101,MATCH(B679,สินค้า!$A$2:$A$101,0)),"ไม่พบรหัส"))</f>
        <v/>
      </c>
      <c r="D679" s="14" t="str">
        <f aca="false">IF(B679="","",IFERROR(INDEX(สินค้า!$D$2:$D$101,MATCH(B679,สินค้า!$A$2:$A$101,0)),""))</f>
        <v/>
      </c>
      <c r="E679" s="6"/>
      <c r="F679" s="8"/>
      <c r="G679" s="8"/>
      <c r="H679" s="8"/>
      <c r="I679" s="15"/>
      <c r="J679" s="15"/>
      <c r="K679" s="10" t="str">
        <f aca="false">IF(J679&lt;&gt;"",J679,IF(I679="","",I679*IFERROR(INDEX(สินค้า!$G$2:$G$101,MATCH(B679,สินค้า!$A$2:$A$101,0)),0)))</f>
        <v/>
      </c>
      <c r="L679" s="16" t="str">
        <f aca="false">IF(OR(F679="",F679=0,G679=""),"",G679/F679)</f>
        <v/>
      </c>
      <c r="M679" s="16" t="str">
        <f aca="false">IF(OR(G679="",G679=0,H679=""),"",H679/G679)</f>
        <v/>
      </c>
    </row>
    <row r="680" customFormat="false" ht="15" hidden="false" customHeight="false" outlineLevel="0" collapsed="false">
      <c r="A680" s="12"/>
      <c r="B680" s="6"/>
      <c r="C680" s="13" t="str">
        <f aca="false">IF(B680="","",IFERROR(INDEX(สินค้า!$B$2:$B$101,MATCH(B680,สินค้า!$A$2:$A$101,0)),"ไม่พบรหัส"))</f>
        <v/>
      </c>
      <c r="D680" s="14" t="str">
        <f aca="false">IF(B680="","",IFERROR(INDEX(สินค้า!$D$2:$D$101,MATCH(B680,สินค้า!$A$2:$A$101,0)),""))</f>
        <v/>
      </c>
      <c r="E680" s="6"/>
      <c r="F680" s="8"/>
      <c r="G680" s="8"/>
      <c r="H680" s="8"/>
      <c r="I680" s="15"/>
      <c r="J680" s="15"/>
      <c r="K680" s="10" t="str">
        <f aca="false">IF(J680&lt;&gt;"",J680,IF(I680="","",I680*IFERROR(INDEX(สินค้า!$G$2:$G$101,MATCH(B680,สินค้า!$A$2:$A$101,0)),0)))</f>
        <v/>
      </c>
      <c r="L680" s="16" t="str">
        <f aca="false">IF(OR(F680="",F680=0,G680=""),"",G680/F680)</f>
        <v/>
      </c>
      <c r="M680" s="16" t="str">
        <f aca="false">IF(OR(G680="",G680=0,H680=""),"",H680/G680)</f>
        <v/>
      </c>
    </row>
    <row r="681" customFormat="false" ht="15" hidden="false" customHeight="false" outlineLevel="0" collapsed="false">
      <c r="A681" s="12"/>
      <c r="B681" s="6"/>
      <c r="C681" s="13" t="str">
        <f aca="false">IF(B681="","",IFERROR(INDEX(สินค้า!$B$2:$B$101,MATCH(B681,สินค้า!$A$2:$A$101,0)),"ไม่พบรหัส"))</f>
        <v/>
      </c>
      <c r="D681" s="14" t="str">
        <f aca="false">IF(B681="","",IFERROR(INDEX(สินค้า!$D$2:$D$101,MATCH(B681,สินค้า!$A$2:$A$101,0)),""))</f>
        <v/>
      </c>
      <c r="E681" s="6"/>
      <c r="F681" s="8"/>
      <c r="G681" s="8"/>
      <c r="H681" s="8"/>
      <c r="I681" s="15"/>
      <c r="J681" s="15"/>
      <c r="K681" s="10" t="str">
        <f aca="false">IF(J681&lt;&gt;"",J681,IF(I681="","",I681*IFERROR(INDEX(สินค้า!$G$2:$G$101,MATCH(B681,สินค้า!$A$2:$A$101,0)),0)))</f>
        <v/>
      </c>
      <c r="L681" s="16" t="str">
        <f aca="false">IF(OR(F681="",F681=0,G681=""),"",G681/F681)</f>
        <v/>
      </c>
      <c r="M681" s="16" t="str">
        <f aca="false">IF(OR(G681="",G681=0,H681=""),"",H681/G681)</f>
        <v/>
      </c>
    </row>
    <row r="682" customFormat="false" ht="15" hidden="false" customHeight="false" outlineLevel="0" collapsed="false">
      <c r="A682" s="12"/>
      <c r="B682" s="6"/>
      <c r="C682" s="13" t="str">
        <f aca="false">IF(B682="","",IFERROR(INDEX(สินค้า!$B$2:$B$101,MATCH(B682,สินค้า!$A$2:$A$101,0)),"ไม่พบรหัส"))</f>
        <v/>
      </c>
      <c r="D682" s="14" t="str">
        <f aca="false">IF(B682="","",IFERROR(INDEX(สินค้า!$D$2:$D$101,MATCH(B682,สินค้า!$A$2:$A$101,0)),""))</f>
        <v/>
      </c>
      <c r="E682" s="6"/>
      <c r="F682" s="8"/>
      <c r="G682" s="8"/>
      <c r="H682" s="8"/>
      <c r="I682" s="15"/>
      <c r="J682" s="15"/>
      <c r="K682" s="10" t="str">
        <f aca="false">IF(J682&lt;&gt;"",J682,IF(I682="","",I682*IFERROR(INDEX(สินค้า!$G$2:$G$101,MATCH(B682,สินค้า!$A$2:$A$101,0)),0)))</f>
        <v/>
      </c>
      <c r="L682" s="16" t="str">
        <f aca="false">IF(OR(F682="",F682=0,G682=""),"",G682/F682)</f>
        <v/>
      </c>
      <c r="M682" s="16" t="str">
        <f aca="false">IF(OR(G682="",G682=0,H682=""),"",H682/G682)</f>
        <v/>
      </c>
    </row>
    <row r="683" customFormat="false" ht="15" hidden="false" customHeight="false" outlineLevel="0" collapsed="false">
      <c r="A683" s="12"/>
      <c r="B683" s="6"/>
      <c r="C683" s="13" t="str">
        <f aca="false">IF(B683="","",IFERROR(INDEX(สินค้า!$B$2:$B$101,MATCH(B683,สินค้า!$A$2:$A$101,0)),"ไม่พบรหัส"))</f>
        <v/>
      </c>
      <c r="D683" s="14" t="str">
        <f aca="false">IF(B683="","",IFERROR(INDEX(สินค้า!$D$2:$D$101,MATCH(B683,สินค้า!$A$2:$A$101,0)),""))</f>
        <v/>
      </c>
      <c r="E683" s="6"/>
      <c r="F683" s="8"/>
      <c r="G683" s="8"/>
      <c r="H683" s="8"/>
      <c r="I683" s="15"/>
      <c r="J683" s="15"/>
      <c r="K683" s="10" t="str">
        <f aca="false">IF(J683&lt;&gt;"",J683,IF(I683="","",I683*IFERROR(INDEX(สินค้า!$G$2:$G$101,MATCH(B683,สินค้า!$A$2:$A$101,0)),0)))</f>
        <v/>
      </c>
      <c r="L683" s="16" t="str">
        <f aca="false">IF(OR(F683="",F683=0,G683=""),"",G683/F683)</f>
        <v/>
      </c>
      <c r="M683" s="16" t="str">
        <f aca="false">IF(OR(G683="",G683=0,H683=""),"",H683/G683)</f>
        <v/>
      </c>
    </row>
    <row r="684" customFormat="false" ht="15" hidden="false" customHeight="false" outlineLevel="0" collapsed="false">
      <c r="A684" s="12"/>
      <c r="B684" s="6"/>
      <c r="C684" s="13" t="str">
        <f aca="false">IF(B684="","",IFERROR(INDEX(สินค้า!$B$2:$B$101,MATCH(B684,สินค้า!$A$2:$A$101,0)),"ไม่พบรหัส"))</f>
        <v/>
      </c>
      <c r="D684" s="14" t="str">
        <f aca="false">IF(B684="","",IFERROR(INDEX(สินค้า!$D$2:$D$101,MATCH(B684,สินค้า!$A$2:$A$101,0)),""))</f>
        <v/>
      </c>
      <c r="E684" s="6"/>
      <c r="F684" s="8"/>
      <c r="G684" s="8"/>
      <c r="H684" s="8"/>
      <c r="I684" s="15"/>
      <c r="J684" s="15"/>
      <c r="K684" s="10" t="str">
        <f aca="false">IF(J684&lt;&gt;"",J684,IF(I684="","",I684*IFERROR(INDEX(สินค้า!$G$2:$G$101,MATCH(B684,สินค้า!$A$2:$A$101,0)),0)))</f>
        <v/>
      </c>
      <c r="L684" s="16" t="str">
        <f aca="false">IF(OR(F684="",F684=0,G684=""),"",G684/F684)</f>
        <v/>
      </c>
      <c r="M684" s="16" t="str">
        <f aca="false">IF(OR(G684="",G684=0,H684=""),"",H684/G684)</f>
        <v/>
      </c>
    </row>
    <row r="685" customFormat="false" ht="15" hidden="false" customHeight="false" outlineLevel="0" collapsed="false">
      <c r="A685" s="12"/>
      <c r="B685" s="6"/>
      <c r="C685" s="13" t="str">
        <f aca="false">IF(B685="","",IFERROR(INDEX(สินค้า!$B$2:$B$101,MATCH(B685,สินค้า!$A$2:$A$101,0)),"ไม่พบรหัส"))</f>
        <v/>
      </c>
      <c r="D685" s="14" t="str">
        <f aca="false">IF(B685="","",IFERROR(INDEX(สินค้า!$D$2:$D$101,MATCH(B685,สินค้า!$A$2:$A$101,0)),""))</f>
        <v/>
      </c>
      <c r="E685" s="6"/>
      <c r="F685" s="8"/>
      <c r="G685" s="8"/>
      <c r="H685" s="8"/>
      <c r="I685" s="15"/>
      <c r="J685" s="15"/>
      <c r="K685" s="10" t="str">
        <f aca="false">IF(J685&lt;&gt;"",J685,IF(I685="","",I685*IFERROR(INDEX(สินค้า!$G$2:$G$101,MATCH(B685,สินค้า!$A$2:$A$101,0)),0)))</f>
        <v/>
      </c>
      <c r="L685" s="16" t="str">
        <f aca="false">IF(OR(F685="",F685=0,G685=""),"",G685/F685)</f>
        <v/>
      </c>
      <c r="M685" s="16" t="str">
        <f aca="false">IF(OR(G685="",G685=0,H685=""),"",H685/G685)</f>
        <v/>
      </c>
    </row>
    <row r="686" customFormat="false" ht="15" hidden="false" customHeight="false" outlineLevel="0" collapsed="false">
      <c r="A686" s="12"/>
      <c r="B686" s="6"/>
      <c r="C686" s="13" t="str">
        <f aca="false">IF(B686="","",IFERROR(INDEX(สินค้า!$B$2:$B$101,MATCH(B686,สินค้า!$A$2:$A$101,0)),"ไม่พบรหัส"))</f>
        <v/>
      </c>
      <c r="D686" s="14" t="str">
        <f aca="false">IF(B686="","",IFERROR(INDEX(สินค้า!$D$2:$D$101,MATCH(B686,สินค้า!$A$2:$A$101,0)),""))</f>
        <v/>
      </c>
      <c r="E686" s="6"/>
      <c r="F686" s="8"/>
      <c r="G686" s="8"/>
      <c r="H686" s="8"/>
      <c r="I686" s="15"/>
      <c r="J686" s="15"/>
      <c r="K686" s="10" t="str">
        <f aca="false">IF(J686&lt;&gt;"",J686,IF(I686="","",I686*IFERROR(INDEX(สินค้า!$G$2:$G$101,MATCH(B686,สินค้า!$A$2:$A$101,0)),0)))</f>
        <v/>
      </c>
      <c r="L686" s="16" t="str">
        <f aca="false">IF(OR(F686="",F686=0,G686=""),"",G686/F686)</f>
        <v/>
      </c>
      <c r="M686" s="16" t="str">
        <f aca="false">IF(OR(G686="",G686=0,H686=""),"",H686/G686)</f>
        <v/>
      </c>
    </row>
    <row r="687" customFormat="false" ht="15" hidden="false" customHeight="false" outlineLevel="0" collapsed="false">
      <c r="A687" s="12"/>
      <c r="B687" s="6"/>
      <c r="C687" s="13" t="str">
        <f aca="false">IF(B687="","",IFERROR(INDEX(สินค้า!$B$2:$B$101,MATCH(B687,สินค้า!$A$2:$A$101,0)),"ไม่พบรหัส"))</f>
        <v/>
      </c>
      <c r="D687" s="14" t="str">
        <f aca="false">IF(B687="","",IFERROR(INDEX(สินค้า!$D$2:$D$101,MATCH(B687,สินค้า!$A$2:$A$101,0)),""))</f>
        <v/>
      </c>
      <c r="E687" s="6"/>
      <c r="F687" s="8"/>
      <c r="G687" s="8"/>
      <c r="H687" s="8"/>
      <c r="I687" s="15"/>
      <c r="J687" s="15"/>
      <c r="K687" s="10" t="str">
        <f aca="false">IF(J687&lt;&gt;"",J687,IF(I687="","",I687*IFERROR(INDEX(สินค้า!$G$2:$G$101,MATCH(B687,สินค้า!$A$2:$A$101,0)),0)))</f>
        <v/>
      </c>
      <c r="L687" s="16" t="str">
        <f aca="false">IF(OR(F687="",F687=0,G687=""),"",G687/F687)</f>
        <v/>
      </c>
      <c r="M687" s="16" t="str">
        <f aca="false">IF(OR(G687="",G687=0,H687=""),"",H687/G687)</f>
        <v/>
      </c>
    </row>
    <row r="688" customFormat="false" ht="15" hidden="false" customHeight="false" outlineLevel="0" collapsed="false">
      <c r="A688" s="12"/>
      <c r="B688" s="6"/>
      <c r="C688" s="13" t="str">
        <f aca="false">IF(B688="","",IFERROR(INDEX(สินค้า!$B$2:$B$101,MATCH(B688,สินค้า!$A$2:$A$101,0)),"ไม่พบรหัส"))</f>
        <v/>
      </c>
      <c r="D688" s="14" t="str">
        <f aca="false">IF(B688="","",IFERROR(INDEX(สินค้า!$D$2:$D$101,MATCH(B688,สินค้า!$A$2:$A$101,0)),""))</f>
        <v/>
      </c>
      <c r="E688" s="6"/>
      <c r="F688" s="8"/>
      <c r="G688" s="8"/>
      <c r="H688" s="8"/>
      <c r="I688" s="15"/>
      <c r="J688" s="15"/>
      <c r="K688" s="10" t="str">
        <f aca="false">IF(J688&lt;&gt;"",J688,IF(I688="","",I688*IFERROR(INDEX(สินค้า!$G$2:$G$101,MATCH(B688,สินค้า!$A$2:$A$101,0)),0)))</f>
        <v/>
      </c>
      <c r="L688" s="16" t="str">
        <f aca="false">IF(OR(F688="",F688=0,G688=""),"",G688/F688)</f>
        <v/>
      </c>
      <c r="M688" s="16" t="str">
        <f aca="false">IF(OR(G688="",G688=0,H688=""),"",H688/G688)</f>
        <v/>
      </c>
    </row>
    <row r="689" customFormat="false" ht="15" hidden="false" customHeight="false" outlineLevel="0" collapsed="false">
      <c r="A689" s="12"/>
      <c r="B689" s="6"/>
      <c r="C689" s="13" t="str">
        <f aca="false">IF(B689="","",IFERROR(INDEX(สินค้า!$B$2:$B$101,MATCH(B689,สินค้า!$A$2:$A$101,0)),"ไม่พบรหัส"))</f>
        <v/>
      </c>
      <c r="D689" s="14" t="str">
        <f aca="false">IF(B689="","",IFERROR(INDEX(สินค้า!$D$2:$D$101,MATCH(B689,สินค้า!$A$2:$A$101,0)),""))</f>
        <v/>
      </c>
      <c r="E689" s="6"/>
      <c r="F689" s="8"/>
      <c r="G689" s="8"/>
      <c r="H689" s="8"/>
      <c r="I689" s="15"/>
      <c r="J689" s="15"/>
      <c r="K689" s="10" t="str">
        <f aca="false">IF(J689&lt;&gt;"",J689,IF(I689="","",I689*IFERROR(INDEX(สินค้า!$G$2:$G$101,MATCH(B689,สินค้า!$A$2:$A$101,0)),0)))</f>
        <v/>
      </c>
      <c r="L689" s="16" t="str">
        <f aca="false">IF(OR(F689="",F689=0,G689=""),"",G689/F689)</f>
        <v/>
      </c>
      <c r="M689" s="16" t="str">
        <f aca="false">IF(OR(G689="",G689=0,H689=""),"",H689/G689)</f>
        <v/>
      </c>
    </row>
    <row r="690" customFormat="false" ht="15" hidden="false" customHeight="false" outlineLevel="0" collapsed="false">
      <c r="A690" s="12"/>
      <c r="B690" s="6"/>
      <c r="C690" s="13" t="str">
        <f aca="false">IF(B690="","",IFERROR(INDEX(สินค้า!$B$2:$B$101,MATCH(B690,สินค้า!$A$2:$A$101,0)),"ไม่พบรหัส"))</f>
        <v/>
      </c>
      <c r="D690" s="14" t="str">
        <f aca="false">IF(B690="","",IFERROR(INDEX(สินค้า!$D$2:$D$101,MATCH(B690,สินค้า!$A$2:$A$101,0)),""))</f>
        <v/>
      </c>
      <c r="E690" s="6"/>
      <c r="F690" s="8"/>
      <c r="G690" s="8"/>
      <c r="H690" s="8"/>
      <c r="I690" s="15"/>
      <c r="J690" s="15"/>
      <c r="K690" s="10" t="str">
        <f aca="false">IF(J690&lt;&gt;"",J690,IF(I690="","",I690*IFERROR(INDEX(สินค้า!$G$2:$G$101,MATCH(B690,สินค้า!$A$2:$A$101,0)),0)))</f>
        <v/>
      </c>
      <c r="L690" s="16" t="str">
        <f aca="false">IF(OR(F690="",F690=0,G690=""),"",G690/F690)</f>
        <v/>
      </c>
      <c r="M690" s="16" t="str">
        <f aca="false">IF(OR(G690="",G690=0,H690=""),"",H690/G690)</f>
        <v/>
      </c>
    </row>
    <row r="691" customFormat="false" ht="15" hidden="false" customHeight="false" outlineLevel="0" collapsed="false">
      <c r="A691" s="12"/>
      <c r="B691" s="6"/>
      <c r="C691" s="13" t="str">
        <f aca="false">IF(B691="","",IFERROR(INDEX(สินค้า!$B$2:$B$101,MATCH(B691,สินค้า!$A$2:$A$101,0)),"ไม่พบรหัส"))</f>
        <v/>
      </c>
      <c r="D691" s="14" t="str">
        <f aca="false">IF(B691="","",IFERROR(INDEX(สินค้า!$D$2:$D$101,MATCH(B691,สินค้า!$A$2:$A$101,0)),""))</f>
        <v/>
      </c>
      <c r="E691" s="6"/>
      <c r="F691" s="8"/>
      <c r="G691" s="8"/>
      <c r="H691" s="8"/>
      <c r="I691" s="15"/>
      <c r="J691" s="15"/>
      <c r="K691" s="10" t="str">
        <f aca="false">IF(J691&lt;&gt;"",J691,IF(I691="","",I691*IFERROR(INDEX(สินค้า!$G$2:$G$101,MATCH(B691,สินค้า!$A$2:$A$101,0)),0)))</f>
        <v/>
      </c>
      <c r="L691" s="16" t="str">
        <f aca="false">IF(OR(F691="",F691=0,G691=""),"",G691/F691)</f>
        <v/>
      </c>
      <c r="M691" s="16" t="str">
        <f aca="false">IF(OR(G691="",G691=0,H691=""),"",H691/G691)</f>
        <v/>
      </c>
    </row>
    <row r="692" customFormat="false" ht="15" hidden="false" customHeight="false" outlineLevel="0" collapsed="false">
      <c r="A692" s="12"/>
      <c r="B692" s="6"/>
      <c r="C692" s="13" t="str">
        <f aca="false">IF(B692="","",IFERROR(INDEX(สินค้า!$B$2:$B$101,MATCH(B692,สินค้า!$A$2:$A$101,0)),"ไม่พบรหัส"))</f>
        <v/>
      </c>
      <c r="D692" s="14" t="str">
        <f aca="false">IF(B692="","",IFERROR(INDEX(สินค้า!$D$2:$D$101,MATCH(B692,สินค้า!$A$2:$A$101,0)),""))</f>
        <v/>
      </c>
      <c r="E692" s="6"/>
      <c r="F692" s="8"/>
      <c r="G692" s="8"/>
      <c r="H692" s="8"/>
      <c r="I692" s="15"/>
      <c r="J692" s="15"/>
      <c r="K692" s="10" t="str">
        <f aca="false">IF(J692&lt;&gt;"",J692,IF(I692="","",I692*IFERROR(INDEX(สินค้า!$G$2:$G$101,MATCH(B692,สินค้า!$A$2:$A$101,0)),0)))</f>
        <v/>
      </c>
      <c r="L692" s="16" t="str">
        <f aca="false">IF(OR(F692="",F692=0,G692=""),"",G692/F692)</f>
        <v/>
      </c>
      <c r="M692" s="16" t="str">
        <f aca="false">IF(OR(G692="",G692=0,H692=""),"",H692/G692)</f>
        <v/>
      </c>
    </row>
    <row r="693" customFormat="false" ht="15" hidden="false" customHeight="false" outlineLevel="0" collapsed="false">
      <c r="A693" s="12"/>
      <c r="B693" s="6"/>
      <c r="C693" s="13" t="str">
        <f aca="false">IF(B693="","",IFERROR(INDEX(สินค้า!$B$2:$B$101,MATCH(B693,สินค้า!$A$2:$A$101,0)),"ไม่พบรหัส"))</f>
        <v/>
      </c>
      <c r="D693" s="14" t="str">
        <f aca="false">IF(B693="","",IFERROR(INDEX(สินค้า!$D$2:$D$101,MATCH(B693,สินค้า!$A$2:$A$101,0)),""))</f>
        <v/>
      </c>
      <c r="E693" s="6"/>
      <c r="F693" s="8"/>
      <c r="G693" s="8"/>
      <c r="H693" s="8"/>
      <c r="I693" s="15"/>
      <c r="J693" s="15"/>
      <c r="K693" s="10" t="str">
        <f aca="false">IF(J693&lt;&gt;"",J693,IF(I693="","",I693*IFERROR(INDEX(สินค้า!$G$2:$G$101,MATCH(B693,สินค้า!$A$2:$A$101,0)),0)))</f>
        <v/>
      </c>
      <c r="L693" s="16" t="str">
        <f aca="false">IF(OR(F693="",F693=0,G693=""),"",G693/F693)</f>
        <v/>
      </c>
      <c r="M693" s="16" t="str">
        <f aca="false">IF(OR(G693="",G693=0,H693=""),"",H693/G693)</f>
        <v/>
      </c>
    </row>
    <row r="694" customFormat="false" ht="15" hidden="false" customHeight="false" outlineLevel="0" collapsed="false">
      <c r="A694" s="12"/>
      <c r="B694" s="6"/>
      <c r="C694" s="13" t="str">
        <f aca="false">IF(B694="","",IFERROR(INDEX(สินค้า!$B$2:$B$101,MATCH(B694,สินค้า!$A$2:$A$101,0)),"ไม่พบรหัส"))</f>
        <v/>
      </c>
      <c r="D694" s="14" t="str">
        <f aca="false">IF(B694="","",IFERROR(INDEX(สินค้า!$D$2:$D$101,MATCH(B694,สินค้า!$A$2:$A$101,0)),""))</f>
        <v/>
      </c>
      <c r="E694" s="6"/>
      <c r="F694" s="8"/>
      <c r="G694" s="8"/>
      <c r="H694" s="8"/>
      <c r="I694" s="15"/>
      <c r="J694" s="15"/>
      <c r="K694" s="10" t="str">
        <f aca="false">IF(J694&lt;&gt;"",J694,IF(I694="","",I694*IFERROR(INDEX(สินค้า!$G$2:$G$101,MATCH(B694,สินค้า!$A$2:$A$101,0)),0)))</f>
        <v/>
      </c>
      <c r="L694" s="16" t="str">
        <f aca="false">IF(OR(F694="",F694=0,G694=""),"",G694/F694)</f>
        <v/>
      </c>
      <c r="M694" s="16" t="str">
        <f aca="false">IF(OR(G694="",G694=0,H694=""),"",H694/G694)</f>
        <v/>
      </c>
    </row>
    <row r="695" customFormat="false" ht="15" hidden="false" customHeight="false" outlineLevel="0" collapsed="false">
      <c r="A695" s="12"/>
      <c r="B695" s="6"/>
      <c r="C695" s="13" t="str">
        <f aca="false">IF(B695="","",IFERROR(INDEX(สินค้า!$B$2:$B$101,MATCH(B695,สินค้า!$A$2:$A$101,0)),"ไม่พบรหัส"))</f>
        <v/>
      </c>
      <c r="D695" s="14" t="str">
        <f aca="false">IF(B695="","",IFERROR(INDEX(สินค้า!$D$2:$D$101,MATCH(B695,สินค้า!$A$2:$A$101,0)),""))</f>
        <v/>
      </c>
      <c r="E695" s="6"/>
      <c r="F695" s="8"/>
      <c r="G695" s="8"/>
      <c r="H695" s="8"/>
      <c r="I695" s="15"/>
      <c r="J695" s="15"/>
      <c r="K695" s="10" t="str">
        <f aca="false">IF(J695&lt;&gt;"",J695,IF(I695="","",I695*IFERROR(INDEX(สินค้า!$G$2:$G$101,MATCH(B695,สินค้า!$A$2:$A$101,0)),0)))</f>
        <v/>
      </c>
      <c r="L695" s="16" t="str">
        <f aca="false">IF(OR(F695="",F695=0,G695=""),"",G695/F695)</f>
        <v/>
      </c>
      <c r="M695" s="16" t="str">
        <f aca="false">IF(OR(G695="",G695=0,H695=""),"",H695/G695)</f>
        <v/>
      </c>
    </row>
    <row r="696" customFormat="false" ht="15" hidden="false" customHeight="false" outlineLevel="0" collapsed="false">
      <c r="A696" s="12"/>
      <c r="B696" s="6"/>
      <c r="C696" s="13" t="str">
        <f aca="false">IF(B696="","",IFERROR(INDEX(สินค้า!$B$2:$B$101,MATCH(B696,สินค้า!$A$2:$A$101,0)),"ไม่พบรหัส"))</f>
        <v/>
      </c>
      <c r="D696" s="14" t="str">
        <f aca="false">IF(B696="","",IFERROR(INDEX(สินค้า!$D$2:$D$101,MATCH(B696,สินค้า!$A$2:$A$101,0)),""))</f>
        <v/>
      </c>
      <c r="E696" s="6"/>
      <c r="F696" s="8"/>
      <c r="G696" s="8"/>
      <c r="H696" s="8"/>
      <c r="I696" s="15"/>
      <c r="J696" s="15"/>
      <c r="K696" s="10" t="str">
        <f aca="false">IF(J696&lt;&gt;"",J696,IF(I696="","",I696*IFERROR(INDEX(สินค้า!$G$2:$G$101,MATCH(B696,สินค้า!$A$2:$A$101,0)),0)))</f>
        <v/>
      </c>
      <c r="L696" s="16" t="str">
        <f aca="false">IF(OR(F696="",F696=0,G696=""),"",G696/F696)</f>
        <v/>
      </c>
      <c r="M696" s="16" t="str">
        <f aca="false">IF(OR(G696="",G696=0,H696=""),"",H696/G696)</f>
        <v/>
      </c>
    </row>
    <row r="697" customFormat="false" ht="15" hidden="false" customHeight="false" outlineLevel="0" collapsed="false">
      <c r="A697" s="12"/>
      <c r="B697" s="6"/>
      <c r="C697" s="13" t="str">
        <f aca="false">IF(B697="","",IFERROR(INDEX(สินค้า!$B$2:$B$101,MATCH(B697,สินค้า!$A$2:$A$101,0)),"ไม่พบรหัส"))</f>
        <v/>
      </c>
      <c r="D697" s="14" t="str">
        <f aca="false">IF(B697="","",IFERROR(INDEX(สินค้า!$D$2:$D$101,MATCH(B697,สินค้า!$A$2:$A$101,0)),""))</f>
        <v/>
      </c>
      <c r="E697" s="6"/>
      <c r="F697" s="8"/>
      <c r="G697" s="8"/>
      <c r="H697" s="8"/>
      <c r="I697" s="15"/>
      <c r="J697" s="15"/>
      <c r="K697" s="10" t="str">
        <f aca="false">IF(J697&lt;&gt;"",J697,IF(I697="","",I697*IFERROR(INDEX(สินค้า!$G$2:$G$101,MATCH(B697,สินค้า!$A$2:$A$101,0)),0)))</f>
        <v/>
      </c>
      <c r="L697" s="16" t="str">
        <f aca="false">IF(OR(F697="",F697=0,G697=""),"",G697/F697)</f>
        <v/>
      </c>
      <c r="M697" s="16" t="str">
        <f aca="false">IF(OR(G697="",G697=0,H697=""),"",H697/G697)</f>
        <v/>
      </c>
    </row>
    <row r="698" customFormat="false" ht="15" hidden="false" customHeight="false" outlineLevel="0" collapsed="false">
      <c r="A698" s="12"/>
      <c r="B698" s="6"/>
      <c r="C698" s="13" t="str">
        <f aca="false">IF(B698="","",IFERROR(INDEX(สินค้า!$B$2:$B$101,MATCH(B698,สินค้า!$A$2:$A$101,0)),"ไม่พบรหัส"))</f>
        <v/>
      </c>
      <c r="D698" s="14" t="str">
        <f aca="false">IF(B698="","",IFERROR(INDEX(สินค้า!$D$2:$D$101,MATCH(B698,สินค้า!$A$2:$A$101,0)),""))</f>
        <v/>
      </c>
      <c r="E698" s="6"/>
      <c r="F698" s="8"/>
      <c r="G698" s="8"/>
      <c r="H698" s="8"/>
      <c r="I698" s="15"/>
      <c r="J698" s="15"/>
      <c r="K698" s="10" t="str">
        <f aca="false">IF(J698&lt;&gt;"",J698,IF(I698="","",I698*IFERROR(INDEX(สินค้า!$G$2:$G$101,MATCH(B698,สินค้า!$A$2:$A$101,0)),0)))</f>
        <v/>
      </c>
      <c r="L698" s="16" t="str">
        <f aca="false">IF(OR(F698="",F698=0,G698=""),"",G698/F698)</f>
        <v/>
      </c>
      <c r="M698" s="16" t="str">
        <f aca="false">IF(OR(G698="",G698=0,H698=""),"",H698/G698)</f>
        <v/>
      </c>
    </row>
    <row r="699" customFormat="false" ht="15" hidden="false" customHeight="false" outlineLevel="0" collapsed="false">
      <c r="A699" s="12"/>
      <c r="B699" s="6"/>
      <c r="C699" s="13" t="str">
        <f aca="false">IF(B699="","",IFERROR(INDEX(สินค้า!$B$2:$B$101,MATCH(B699,สินค้า!$A$2:$A$101,0)),"ไม่พบรหัส"))</f>
        <v/>
      </c>
      <c r="D699" s="14" t="str">
        <f aca="false">IF(B699="","",IFERROR(INDEX(สินค้า!$D$2:$D$101,MATCH(B699,สินค้า!$A$2:$A$101,0)),""))</f>
        <v/>
      </c>
      <c r="E699" s="6"/>
      <c r="F699" s="8"/>
      <c r="G699" s="8"/>
      <c r="H699" s="8"/>
      <c r="I699" s="15"/>
      <c r="J699" s="15"/>
      <c r="K699" s="10" t="str">
        <f aca="false">IF(J699&lt;&gt;"",J699,IF(I699="","",I699*IFERROR(INDEX(สินค้า!$G$2:$G$101,MATCH(B699,สินค้า!$A$2:$A$101,0)),0)))</f>
        <v/>
      </c>
      <c r="L699" s="16" t="str">
        <f aca="false">IF(OR(F699="",F699=0,G699=""),"",G699/F699)</f>
        <v/>
      </c>
      <c r="M699" s="16" t="str">
        <f aca="false">IF(OR(G699="",G699=0,H699=""),"",H699/G699)</f>
        <v/>
      </c>
    </row>
    <row r="700" customFormat="false" ht="15" hidden="false" customHeight="false" outlineLevel="0" collapsed="false">
      <c r="A700" s="12"/>
      <c r="B700" s="6"/>
      <c r="C700" s="13" t="str">
        <f aca="false">IF(B700="","",IFERROR(INDEX(สินค้า!$B$2:$B$101,MATCH(B700,สินค้า!$A$2:$A$101,0)),"ไม่พบรหัส"))</f>
        <v/>
      </c>
      <c r="D700" s="14" t="str">
        <f aca="false">IF(B700="","",IFERROR(INDEX(สินค้า!$D$2:$D$101,MATCH(B700,สินค้า!$A$2:$A$101,0)),""))</f>
        <v/>
      </c>
      <c r="E700" s="6"/>
      <c r="F700" s="8"/>
      <c r="G700" s="8"/>
      <c r="H700" s="8"/>
      <c r="I700" s="15"/>
      <c r="J700" s="15"/>
      <c r="K700" s="10" t="str">
        <f aca="false">IF(J700&lt;&gt;"",J700,IF(I700="","",I700*IFERROR(INDEX(สินค้า!$G$2:$G$101,MATCH(B700,สินค้า!$A$2:$A$101,0)),0)))</f>
        <v/>
      </c>
      <c r="L700" s="16" t="str">
        <f aca="false">IF(OR(F700="",F700=0,G700=""),"",G700/F700)</f>
        <v/>
      </c>
      <c r="M700" s="16" t="str">
        <f aca="false">IF(OR(G700="",G700=0,H700=""),"",H700/G700)</f>
        <v/>
      </c>
    </row>
    <row r="701" customFormat="false" ht="15" hidden="false" customHeight="false" outlineLevel="0" collapsed="false">
      <c r="A701" s="12"/>
      <c r="B701" s="6"/>
      <c r="C701" s="13" t="str">
        <f aca="false">IF(B701="","",IFERROR(INDEX(สินค้า!$B$2:$B$101,MATCH(B701,สินค้า!$A$2:$A$101,0)),"ไม่พบรหัส"))</f>
        <v/>
      </c>
      <c r="D701" s="14" t="str">
        <f aca="false">IF(B701="","",IFERROR(INDEX(สินค้า!$D$2:$D$101,MATCH(B701,สินค้า!$A$2:$A$101,0)),""))</f>
        <v/>
      </c>
      <c r="E701" s="6"/>
      <c r="F701" s="8"/>
      <c r="G701" s="8"/>
      <c r="H701" s="8"/>
      <c r="I701" s="15"/>
      <c r="J701" s="15"/>
      <c r="K701" s="10" t="str">
        <f aca="false">IF(J701&lt;&gt;"",J701,IF(I701="","",I701*IFERROR(INDEX(สินค้า!$G$2:$G$101,MATCH(B701,สินค้า!$A$2:$A$101,0)),0)))</f>
        <v/>
      </c>
      <c r="L701" s="16" t="str">
        <f aca="false">IF(OR(F701="",F701=0,G701=""),"",G701/F701)</f>
        <v/>
      </c>
      <c r="M701" s="16" t="str">
        <f aca="false">IF(OR(G701="",G701=0,H701=""),"",H701/G701)</f>
        <v/>
      </c>
    </row>
    <row r="702" customFormat="false" ht="15" hidden="false" customHeight="false" outlineLevel="0" collapsed="false">
      <c r="A702" s="12"/>
      <c r="B702" s="6"/>
      <c r="C702" s="13" t="str">
        <f aca="false">IF(B702="","",IFERROR(INDEX(สินค้า!$B$2:$B$101,MATCH(B702,สินค้า!$A$2:$A$101,0)),"ไม่พบรหัส"))</f>
        <v/>
      </c>
      <c r="D702" s="14" t="str">
        <f aca="false">IF(B702="","",IFERROR(INDEX(สินค้า!$D$2:$D$101,MATCH(B702,สินค้า!$A$2:$A$101,0)),""))</f>
        <v/>
      </c>
      <c r="E702" s="6"/>
      <c r="F702" s="8"/>
      <c r="G702" s="8"/>
      <c r="H702" s="8"/>
      <c r="I702" s="15"/>
      <c r="J702" s="15"/>
      <c r="K702" s="10" t="str">
        <f aca="false">IF(J702&lt;&gt;"",J702,IF(I702="","",I702*IFERROR(INDEX(สินค้า!$G$2:$G$101,MATCH(B702,สินค้า!$A$2:$A$101,0)),0)))</f>
        <v/>
      </c>
      <c r="L702" s="16" t="str">
        <f aca="false">IF(OR(F702="",F702=0,G702=""),"",G702/F702)</f>
        <v/>
      </c>
      <c r="M702" s="16" t="str">
        <f aca="false">IF(OR(G702="",G702=0,H702=""),"",H702/G702)</f>
        <v/>
      </c>
    </row>
    <row r="703" customFormat="false" ht="15" hidden="false" customHeight="false" outlineLevel="0" collapsed="false">
      <c r="A703" s="12"/>
      <c r="B703" s="6"/>
      <c r="C703" s="13" t="str">
        <f aca="false">IF(B703="","",IFERROR(INDEX(สินค้า!$B$2:$B$101,MATCH(B703,สินค้า!$A$2:$A$101,0)),"ไม่พบรหัส"))</f>
        <v/>
      </c>
      <c r="D703" s="14" t="str">
        <f aca="false">IF(B703="","",IFERROR(INDEX(สินค้า!$D$2:$D$101,MATCH(B703,สินค้า!$A$2:$A$101,0)),""))</f>
        <v/>
      </c>
      <c r="E703" s="6"/>
      <c r="F703" s="8"/>
      <c r="G703" s="8"/>
      <c r="H703" s="8"/>
      <c r="I703" s="15"/>
      <c r="J703" s="15"/>
      <c r="K703" s="10" t="str">
        <f aca="false">IF(J703&lt;&gt;"",J703,IF(I703="","",I703*IFERROR(INDEX(สินค้า!$G$2:$G$101,MATCH(B703,สินค้า!$A$2:$A$101,0)),0)))</f>
        <v/>
      </c>
      <c r="L703" s="16" t="str">
        <f aca="false">IF(OR(F703="",F703=0,G703=""),"",G703/F703)</f>
        <v/>
      </c>
      <c r="M703" s="16" t="str">
        <f aca="false">IF(OR(G703="",G703=0,H703=""),"",H703/G703)</f>
        <v/>
      </c>
    </row>
    <row r="704" customFormat="false" ht="15" hidden="false" customHeight="false" outlineLevel="0" collapsed="false">
      <c r="A704" s="12"/>
      <c r="B704" s="6"/>
      <c r="C704" s="13" t="str">
        <f aca="false">IF(B704="","",IFERROR(INDEX(สินค้า!$B$2:$B$101,MATCH(B704,สินค้า!$A$2:$A$101,0)),"ไม่พบรหัส"))</f>
        <v/>
      </c>
      <c r="D704" s="14" t="str">
        <f aca="false">IF(B704="","",IFERROR(INDEX(สินค้า!$D$2:$D$101,MATCH(B704,สินค้า!$A$2:$A$101,0)),""))</f>
        <v/>
      </c>
      <c r="E704" s="6"/>
      <c r="F704" s="8"/>
      <c r="G704" s="8"/>
      <c r="H704" s="8"/>
      <c r="I704" s="15"/>
      <c r="J704" s="15"/>
      <c r="K704" s="10" t="str">
        <f aca="false">IF(J704&lt;&gt;"",J704,IF(I704="","",I704*IFERROR(INDEX(สินค้า!$G$2:$G$101,MATCH(B704,สินค้า!$A$2:$A$101,0)),0)))</f>
        <v/>
      </c>
      <c r="L704" s="16" t="str">
        <f aca="false">IF(OR(F704="",F704=0,G704=""),"",G704/F704)</f>
        <v/>
      </c>
      <c r="M704" s="16" t="str">
        <f aca="false">IF(OR(G704="",G704=0,H704=""),"",H704/G704)</f>
        <v/>
      </c>
    </row>
    <row r="705" customFormat="false" ht="15" hidden="false" customHeight="false" outlineLevel="0" collapsed="false">
      <c r="A705" s="12"/>
      <c r="B705" s="6"/>
      <c r="C705" s="13" t="str">
        <f aca="false">IF(B705="","",IFERROR(INDEX(สินค้า!$B$2:$B$101,MATCH(B705,สินค้า!$A$2:$A$101,0)),"ไม่พบรหัส"))</f>
        <v/>
      </c>
      <c r="D705" s="14" t="str">
        <f aca="false">IF(B705="","",IFERROR(INDEX(สินค้า!$D$2:$D$101,MATCH(B705,สินค้า!$A$2:$A$101,0)),""))</f>
        <v/>
      </c>
      <c r="E705" s="6"/>
      <c r="F705" s="8"/>
      <c r="G705" s="8"/>
      <c r="H705" s="8"/>
      <c r="I705" s="15"/>
      <c r="J705" s="15"/>
      <c r="K705" s="10" t="str">
        <f aca="false">IF(J705&lt;&gt;"",J705,IF(I705="","",I705*IFERROR(INDEX(สินค้า!$G$2:$G$101,MATCH(B705,สินค้า!$A$2:$A$101,0)),0)))</f>
        <v/>
      </c>
      <c r="L705" s="16" t="str">
        <f aca="false">IF(OR(F705="",F705=0,G705=""),"",G705/F705)</f>
        <v/>
      </c>
      <c r="M705" s="16" t="str">
        <f aca="false">IF(OR(G705="",G705=0,H705=""),"",H705/G705)</f>
        <v/>
      </c>
    </row>
    <row r="706" customFormat="false" ht="15" hidden="false" customHeight="false" outlineLevel="0" collapsed="false">
      <c r="A706" s="12"/>
      <c r="B706" s="6"/>
      <c r="C706" s="13" t="str">
        <f aca="false">IF(B706="","",IFERROR(INDEX(สินค้า!$B$2:$B$101,MATCH(B706,สินค้า!$A$2:$A$101,0)),"ไม่พบรหัส"))</f>
        <v/>
      </c>
      <c r="D706" s="14" t="str">
        <f aca="false">IF(B706="","",IFERROR(INDEX(สินค้า!$D$2:$D$101,MATCH(B706,สินค้า!$A$2:$A$101,0)),""))</f>
        <v/>
      </c>
      <c r="E706" s="6"/>
      <c r="F706" s="8"/>
      <c r="G706" s="8"/>
      <c r="H706" s="8"/>
      <c r="I706" s="15"/>
      <c r="J706" s="15"/>
      <c r="K706" s="10" t="str">
        <f aca="false">IF(J706&lt;&gt;"",J706,IF(I706="","",I706*IFERROR(INDEX(สินค้า!$G$2:$G$101,MATCH(B706,สินค้า!$A$2:$A$101,0)),0)))</f>
        <v/>
      </c>
      <c r="L706" s="16" t="str">
        <f aca="false">IF(OR(F706="",F706=0,G706=""),"",G706/F706)</f>
        <v/>
      </c>
      <c r="M706" s="16" t="str">
        <f aca="false">IF(OR(G706="",G706=0,H706=""),"",H706/G706)</f>
        <v/>
      </c>
    </row>
    <row r="707" customFormat="false" ht="15" hidden="false" customHeight="false" outlineLevel="0" collapsed="false">
      <c r="A707" s="12"/>
      <c r="B707" s="6"/>
      <c r="C707" s="13" t="str">
        <f aca="false">IF(B707="","",IFERROR(INDEX(สินค้า!$B$2:$B$101,MATCH(B707,สินค้า!$A$2:$A$101,0)),"ไม่พบรหัส"))</f>
        <v/>
      </c>
      <c r="D707" s="14" t="str">
        <f aca="false">IF(B707="","",IFERROR(INDEX(สินค้า!$D$2:$D$101,MATCH(B707,สินค้า!$A$2:$A$101,0)),""))</f>
        <v/>
      </c>
      <c r="E707" s="6"/>
      <c r="F707" s="8"/>
      <c r="G707" s="8"/>
      <c r="H707" s="8"/>
      <c r="I707" s="15"/>
      <c r="J707" s="15"/>
      <c r="K707" s="10" t="str">
        <f aca="false">IF(J707&lt;&gt;"",J707,IF(I707="","",I707*IFERROR(INDEX(สินค้า!$G$2:$G$101,MATCH(B707,สินค้า!$A$2:$A$101,0)),0)))</f>
        <v/>
      </c>
      <c r="L707" s="16" t="str">
        <f aca="false">IF(OR(F707="",F707=0,G707=""),"",G707/F707)</f>
        <v/>
      </c>
      <c r="M707" s="16" t="str">
        <f aca="false">IF(OR(G707="",G707=0,H707=""),"",H707/G707)</f>
        <v/>
      </c>
    </row>
    <row r="708" customFormat="false" ht="15" hidden="false" customHeight="false" outlineLevel="0" collapsed="false">
      <c r="A708" s="12"/>
      <c r="B708" s="6"/>
      <c r="C708" s="13" t="str">
        <f aca="false">IF(B708="","",IFERROR(INDEX(สินค้า!$B$2:$B$101,MATCH(B708,สินค้า!$A$2:$A$101,0)),"ไม่พบรหัส"))</f>
        <v/>
      </c>
      <c r="D708" s="14" t="str">
        <f aca="false">IF(B708="","",IFERROR(INDEX(สินค้า!$D$2:$D$101,MATCH(B708,สินค้า!$A$2:$A$101,0)),""))</f>
        <v/>
      </c>
      <c r="E708" s="6"/>
      <c r="F708" s="8"/>
      <c r="G708" s="8"/>
      <c r="H708" s="8"/>
      <c r="I708" s="15"/>
      <c r="J708" s="15"/>
      <c r="K708" s="10" t="str">
        <f aca="false">IF(J708&lt;&gt;"",J708,IF(I708="","",I708*IFERROR(INDEX(สินค้า!$G$2:$G$101,MATCH(B708,สินค้า!$A$2:$A$101,0)),0)))</f>
        <v/>
      </c>
      <c r="L708" s="16" t="str">
        <f aca="false">IF(OR(F708="",F708=0,G708=""),"",G708/F708)</f>
        <v/>
      </c>
      <c r="M708" s="16" t="str">
        <f aca="false">IF(OR(G708="",G708=0,H708=""),"",H708/G708)</f>
        <v/>
      </c>
    </row>
    <row r="709" customFormat="false" ht="15" hidden="false" customHeight="false" outlineLevel="0" collapsed="false">
      <c r="A709" s="12"/>
      <c r="B709" s="6"/>
      <c r="C709" s="13" t="str">
        <f aca="false">IF(B709="","",IFERROR(INDEX(สินค้า!$B$2:$B$101,MATCH(B709,สินค้า!$A$2:$A$101,0)),"ไม่พบรหัส"))</f>
        <v/>
      </c>
      <c r="D709" s="14" t="str">
        <f aca="false">IF(B709="","",IFERROR(INDEX(สินค้า!$D$2:$D$101,MATCH(B709,สินค้า!$A$2:$A$101,0)),""))</f>
        <v/>
      </c>
      <c r="E709" s="6"/>
      <c r="F709" s="8"/>
      <c r="G709" s="8"/>
      <c r="H709" s="8"/>
      <c r="I709" s="15"/>
      <c r="J709" s="15"/>
      <c r="K709" s="10" t="str">
        <f aca="false">IF(J709&lt;&gt;"",J709,IF(I709="","",I709*IFERROR(INDEX(สินค้า!$G$2:$G$101,MATCH(B709,สินค้า!$A$2:$A$101,0)),0)))</f>
        <v/>
      </c>
      <c r="L709" s="16" t="str">
        <f aca="false">IF(OR(F709="",F709=0,G709=""),"",G709/F709)</f>
        <v/>
      </c>
      <c r="M709" s="16" t="str">
        <f aca="false">IF(OR(G709="",G709=0,H709=""),"",H709/G709)</f>
        <v/>
      </c>
    </row>
    <row r="710" customFormat="false" ht="15" hidden="false" customHeight="false" outlineLevel="0" collapsed="false">
      <c r="A710" s="12"/>
      <c r="B710" s="6"/>
      <c r="C710" s="13" t="str">
        <f aca="false">IF(B710="","",IFERROR(INDEX(สินค้า!$B$2:$B$101,MATCH(B710,สินค้า!$A$2:$A$101,0)),"ไม่พบรหัส"))</f>
        <v/>
      </c>
      <c r="D710" s="14" t="str">
        <f aca="false">IF(B710="","",IFERROR(INDEX(สินค้า!$D$2:$D$101,MATCH(B710,สินค้า!$A$2:$A$101,0)),""))</f>
        <v/>
      </c>
      <c r="E710" s="6"/>
      <c r="F710" s="8"/>
      <c r="G710" s="8"/>
      <c r="H710" s="8"/>
      <c r="I710" s="15"/>
      <c r="J710" s="15"/>
      <c r="K710" s="10" t="str">
        <f aca="false">IF(J710&lt;&gt;"",J710,IF(I710="","",I710*IFERROR(INDEX(สินค้า!$G$2:$G$101,MATCH(B710,สินค้า!$A$2:$A$101,0)),0)))</f>
        <v/>
      </c>
      <c r="L710" s="16" t="str">
        <f aca="false">IF(OR(F710="",F710=0,G710=""),"",G710/F710)</f>
        <v/>
      </c>
      <c r="M710" s="16" t="str">
        <f aca="false">IF(OR(G710="",G710=0,H710=""),"",H710/G710)</f>
        <v/>
      </c>
    </row>
    <row r="711" customFormat="false" ht="15" hidden="false" customHeight="false" outlineLevel="0" collapsed="false">
      <c r="A711" s="12"/>
      <c r="B711" s="6"/>
      <c r="C711" s="13" t="str">
        <f aca="false">IF(B711="","",IFERROR(INDEX(สินค้า!$B$2:$B$101,MATCH(B711,สินค้า!$A$2:$A$101,0)),"ไม่พบรหัส"))</f>
        <v/>
      </c>
      <c r="D711" s="14" t="str">
        <f aca="false">IF(B711="","",IFERROR(INDEX(สินค้า!$D$2:$D$101,MATCH(B711,สินค้า!$A$2:$A$101,0)),""))</f>
        <v/>
      </c>
      <c r="E711" s="6"/>
      <c r="F711" s="8"/>
      <c r="G711" s="8"/>
      <c r="H711" s="8"/>
      <c r="I711" s="15"/>
      <c r="J711" s="15"/>
      <c r="K711" s="10" t="str">
        <f aca="false">IF(J711&lt;&gt;"",J711,IF(I711="","",I711*IFERROR(INDEX(สินค้า!$G$2:$G$101,MATCH(B711,สินค้า!$A$2:$A$101,0)),0)))</f>
        <v/>
      </c>
      <c r="L711" s="16" t="str">
        <f aca="false">IF(OR(F711="",F711=0,G711=""),"",G711/F711)</f>
        <v/>
      </c>
      <c r="M711" s="16" t="str">
        <f aca="false">IF(OR(G711="",G711=0,H711=""),"",H711/G711)</f>
        <v/>
      </c>
    </row>
    <row r="712" customFormat="false" ht="15" hidden="false" customHeight="false" outlineLevel="0" collapsed="false">
      <c r="A712" s="12"/>
      <c r="B712" s="6"/>
      <c r="C712" s="13" t="str">
        <f aca="false">IF(B712="","",IFERROR(INDEX(สินค้า!$B$2:$B$101,MATCH(B712,สินค้า!$A$2:$A$101,0)),"ไม่พบรหัส"))</f>
        <v/>
      </c>
      <c r="D712" s="14" t="str">
        <f aca="false">IF(B712="","",IFERROR(INDEX(สินค้า!$D$2:$D$101,MATCH(B712,สินค้า!$A$2:$A$101,0)),""))</f>
        <v/>
      </c>
      <c r="E712" s="6"/>
      <c r="F712" s="8"/>
      <c r="G712" s="8"/>
      <c r="H712" s="8"/>
      <c r="I712" s="15"/>
      <c r="J712" s="15"/>
      <c r="K712" s="10" t="str">
        <f aca="false">IF(J712&lt;&gt;"",J712,IF(I712="","",I712*IFERROR(INDEX(สินค้า!$G$2:$G$101,MATCH(B712,สินค้า!$A$2:$A$101,0)),0)))</f>
        <v/>
      </c>
      <c r="L712" s="16" t="str">
        <f aca="false">IF(OR(F712="",F712=0,G712=""),"",G712/F712)</f>
        <v/>
      </c>
      <c r="M712" s="16" t="str">
        <f aca="false">IF(OR(G712="",G712=0,H712=""),"",H712/G712)</f>
        <v/>
      </c>
    </row>
    <row r="713" customFormat="false" ht="15" hidden="false" customHeight="false" outlineLevel="0" collapsed="false">
      <c r="A713" s="12"/>
      <c r="B713" s="6"/>
      <c r="C713" s="13" t="str">
        <f aca="false">IF(B713="","",IFERROR(INDEX(สินค้า!$B$2:$B$101,MATCH(B713,สินค้า!$A$2:$A$101,0)),"ไม่พบรหัส"))</f>
        <v/>
      </c>
      <c r="D713" s="14" t="str">
        <f aca="false">IF(B713="","",IFERROR(INDEX(สินค้า!$D$2:$D$101,MATCH(B713,สินค้า!$A$2:$A$101,0)),""))</f>
        <v/>
      </c>
      <c r="E713" s="6"/>
      <c r="F713" s="8"/>
      <c r="G713" s="8"/>
      <c r="H713" s="8"/>
      <c r="I713" s="15"/>
      <c r="J713" s="15"/>
      <c r="K713" s="10" t="str">
        <f aca="false">IF(J713&lt;&gt;"",J713,IF(I713="","",I713*IFERROR(INDEX(สินค้า!$G$2:$G$101,MATCH(B713,สินค้า!$A$2:$A$101,0)),0)))</f>
        <v/>
      </c>
      <c r="L713" s="16" t="str">
        <f aca="false">IF(OR(F713="",F713=0,G713=""),"",G713/F713)</f>
        <v/>
      </c>
      <c r="M713" s="16" t="str">
        <f aca="false">IF(OR(G713="",G713=0,H713=""),"",H713/G713)</f>
        <v/>
      </c>
    </row>
    <row r="714" customFormat="false" ht="15" hidden="false" customHeight="false" outlineLevel="0" collapsed="false">
      <c r="A714" s="12"/>
      <c r="B714" s="6"/>
      <c r="C714" s="13" t="str">
        <f aca="false">IF(B714="","",IFERROR(INDEX(สินค้า!$B$2:$B$101,MATCH(B714,สินค้า!$A$2:$A$101,0)),"ไม่พบรหัส"))</f>
        <v/>
      </c>
      <c r="D714" s="14" t="str">
        <f aca="false">IF(B714="","",IFERROR(INDEX(สินค้า!$D$2:$D$101,MATCH(B714,สินค้า!$A$2:$A$101,0)),""))</f>
        <v/>
      </c>
      <c r="E714" s="6"/>
      <c r="F714" s="8"/>
      <c r="G714" s="8"/>
      <c r="H714" s="8"/>
      <c r="I714" s="15"/>
      <c r="J714" s="15"/>
      <c r="K714" s="10" t="str">
        <f aca="false">IF(J714&lt;&gt;"",J714,IF(I714="","",I714*IFERROR(INDEX(สินค้า!$G$2:$G$101,MATCH(B714,สินค้า!$A$2:$A$101,0)),0)))</f>
        <v/>
      </c>
      <c r="L714" s="16" t="str">
        <f aca="false">IF(OR(F714="",F714=0,G714=""),"",G714/F714)</f>
        <v/>
      </c>
      <c r="M714" s="16" t="str">
        <f aca="false">IF(OR(G714="",G714=0,H714=""),"",H714/G714)</f>
        <v/>
      </c>
    </row>
    <row r="715" customFormat="false" ht="15" hidden="false" customHeight="false" outlineLevel="0" collapsed="false">
      <c r="A715" s="12"/>
      <c r="B715" s="6"/>
      <c r="C715" s="13" t="str">
        <f aca="false">IF(B715="","",IFERROR(INDEX(สินค้า!$B$2:$B$101,MATCH(B715,สินค้า!$A$2:$A$101,0)),"ไม่พบรหัส"))</f>
        <v/>
      </c>
      <c r="D715" s="14" t="str">
        <f aca="false">IF(B715="","",IFERROR(INDEX(สินค้า!$D$2:$D$101,MATCH(B715,สินค้า!$A$2:$A$101,0)),""))</f>
        <v/>
      </c>
      <c r="E715" s="6"/>
      <c r="F715" s="8"/>
      <c r="G715" s="8"/>
      <c r="H715" s="8"/>
      <c r="I715" s="15"/>
      <c r="J715" s="15"/>
      <c r="K715" s="10" t="str">
        <f aca="false">IF(J715&lt;&gt;"",J715,IF(I715="","",I715*IFERROR(INDEX(สินค้า!$G$2:$G$101,MATCH(B715,สินค้า!$A$2:$A$101,0)),0)))</f>
        <v/>
      </c>
      <c r="L715" s="16" t="str">
        <f aca="false">IF(OR(F715="",F715=0,G715=""),"",G715/F715)</f>
        <v/>
      </c>
      <c r="M715" s="16" t="str">
        <f aca="false">IF(OR(G715="",G715=0,H715=""),"",H715/G715)</f>
        <v/>
      </c>
    </row>
    <row r="716" customFormat="false" ht="15" hidden="false" customHeight="false" outlineLevel="0" collapsed="false">
      <c r="A716" s="12"/>
      <c r="B716" s="6"/>
      <c r="C716" s="13" t="str">
        <f aca="false">IF(B716="","",IFERROR(INDEX(สินค้า!$B$2:$B$101,MATCH(B716,สินค้า!$A$2:$A$101,0)),"ไม่พบรหัส"))</f>
        <v/>
      </c>
      <c r="D716" s="14" t="str">
        <f aca="false">IF(B716="","",IFERROR(INDEX(สินค้า!$D$2:$D$101,MATCH(B716,สินค้า!$A$2:$A$101,0)),""))</f>
        <v/>
      </c>
      <c r="E716" s="6"/>
      <c r="F716" s="8"/>
      <c r="G716" s="8"/>
      <c r="H716" s="8"/>
      <c r="I716" s="15"/>
      <c r="J716" s="15"/>
      <c r="K716" s="10" t="str">
        <f aca="false">IF(J716&lt;&gt;"",J716,IF(I716="","",I716*IFERROR(INDEX(สินค้า!$G$2:$G$101,MATCH(B716,สินค้า!$A$2:$A$101,0)),0)))</f>
        <v/>
      </c>
      <c r="L716" s="16" t="str">
        <f aca="false">IF(OR(F716="",F716=0,G716=""),"",G716/F716)</f>
        <v/>
      </c>
      <c r="M716" s="16" t="str">
        <f aca="false">IF(OR(G716="",G716=0,H716=""),"",H716/G716)</f>
        <v/>
      </c>
    </row>
    <row r="717" customFormat="false" ht="15" hidden="false" customHeight="false" outlineLevel="0" collapsed="false">
      <c r="A717" s="12"/>
      <c r="B717" s="6"/>
      <c r="C717" s="13" t="str">
        <f aca="false">IF(B717="","",IFERROR(INDEX(สินค้า!$B$2:$B$101,MATCH(B717,สินค้า!$A$2:$A$101,0)),"ไม่พบรหัส"))</f>
        <v/>
      </c>
      <c r="D717" s="14" t="str">
        <f aca="false">IF(B717="","",IFERROR(INDEX(สินค้า!$D$2:$D$101,MATCH(B717,สินค้า!$A$2:$A$101,0)),""))</f>
        <v/>
      </c>
      <c r="E717" s="6"/>
      <c r="F717" s="8"/>
      <c r="G717" s="8"/>
      <c r="H717" s="8"/>
      <c r="I717" s="15"/>
      <c r="J717" s="15"/>
      <c r="K717" s="10" t="str">
        <f aca="false">IF(J717&lt;&gt;"",J717,IF(I717="","",I717*IFERROR(INDEX(สินค้า!$G$2:$G$101,MATCH(B717,สินค้า!$A$2:$A$101,0)),0)))</f>
        <v/>
      </c>
      <c r="L717" s="16" t="str">
        <f aca="false">IF(OR(F717="",F717=0,G717=""),"",G717/F717)</f>
        <v/>
      </c>
      <c r="M717" s="16" t="str">
        <f aca="false">IF(OR(G717="",G717=0,H717=""),"",H717/G717)</f>
        <v/>
      </c>
    </row>
    <row r="718" customFormat="false" ht="15" hidden="false" customHeight="false" outlineLevel="0" collapsed="false">
      <c r="A718" s="12"/>
      <c r="B718" s="6"/>
      <c r="C718" s="13" t="str">
        <f aca="false">IF(B718="","",IFERROR(INDEX(สินค้า!$B$2:$B$101,MATCH(B718,สินค้า!$A$2:$A$101,0)),"ไม่พบรหัส"))</f>
        <v/>
      </c>
      <c r="D718" s="14" t="str">
        <f aca="false">IF(B718="","",IFERROR(INDEX(สินค้า!$D$2:$D$101,MATCH(B718,สินค้า!$A$2:$A$101,0)),""))</f>
        <v/>
      </c>
      <c r="E718" s="6"/>
      <c r="F718" s="8"/>
      <c r="G718" s="8"/>
      <c r="H718" s="8"/>
      <c r="I718" s="15"/>
      <c r="J718" s="15"/>
      <c r="K718" s="10" t="str">
        <f aca="false">IF(J718&lt;&gt;"",J718,IF(I718="","",I718*IFERROR(INDEX(สินค้า!$G$2:$G$101,MATCH(B718,สินค้า!$A$2:$A$101,0)),0)))</f>
        <v/>
      </c>
      <c r="L718" s="16" t="str">
        <f aca="false">IF(OR(F718="",F718=0,G718=""),"",G718/F718)</f>
        <v/>
      </c>
      <c r="M718" s="16" t="str">
        <f aca="false">IF(OR(G718="",G718=0,H718=""),"",H718/G718)</f>
        <v/>
      </c>
    </row>
    <row r="719" customFormat="false" ht="15" hidden="false" customHeight="false" outlineLevel="0" collapsed="false">
      <c r="A719" s="12"/>
      <c r="B719" s="6"/>
      <c r="C719" s="13" t="str">
        <f aca="false">IF(B719="","",IFERROR(INDEX(สินค้า!$B$2:$B$101,MATCH(B719,สินค้า!$A$2:$A$101,0)),"ไม่พบรหัส"))</f>
        <v/>
      </c>
      <c r="D719" s="14" t="str">
        <f aca="false">IF(B719="","",IFERROR(INDEX(สินค้า!$D$2:$D$101,MATCH(B719,สินค้า!$A$2:$A$101,0)),""))</f>
        <v/>
      </c>
      <c r="E719" s="6"/>
      <c r="F719" s="8"/>
      <c r="G719" s="8"/>
      <c r="H719" s="8"/>
      <c r="I719" s="15"/>
      <c r="J719" s="15"/>
      <c r="K719" s="10" t="str">
        <f aca="false">IF(J719&lt;&gt;"",J719,IF(I719="","",I719*IFERROR(INDEX(สินค้า!$G$2:$G$101,MATCH(B719,สินค้า!$A$2:$A$101,0)),0)))</f>
        <v/>
      </c>
      <c r="L719" s="16" t="str">
        <f aca="false">IF(OR(F719="",F719=0,G719=""),"",G719/F719)</f>
        <v/>
      </c>
      <c r="M719" s="16" t="str">
        <f aca="false">IF(OR(G719="",G719=0,H719=""),"",H719/G719)</f>
        <v/>
      </c>
    </row>
    <row r="720" customFormat="false" ht="15" hidden="false" customHeight="false" outlineLevel="0" collapsed="false">
      <c r="A720" s="12"/>
      <c r="B720" s="6"/>
      <c r="C720" s="13" t="str">
        <f aca="false">IF(B720="","",IFERROR(INDEX(สินค้า!$B$2:$B$101,MATCH(B720,สินค้า!$A$2:$A$101,0)),"ไม่พบรหัส"))</f>
        <v/>
      </c>
      <c r="D720" s="14" t="str">
        <f aca="false">IF(B720="","",IFERROR(INDEX(สินค้า!$D$2:$D$101,MATCH(B720,สินค้า!$A$2:$A$101,0)),""))</f>
        <v/>
      </c>
      <c r="E720" s="6"/>
      <c r="F720" s="8"/>
      <c r="G720" s="8"/>
      <c r="H720" s="8"/>
      <c r="I720" s="15"/>
      <c r="J720" s="15"/>
      <c r="K720" s="10" t="str">
        <f aca="false">IF(J720&lt;&gt;"",J720,IF(I720="","",I720*IFERROR(INDEX(สินค้า!$G$2:$G$101,MATCH(B720,สินค้า!$A$2:$A$101,0)),0)))</f>
        <v/>
      </c>
      <c r="L720" s="16" t="str">
        <f aca="false">IF(OR(F720="",F720=0,G720=""),"",G720/F720)</f>
        <v/>
      </c>
      <c r="M720" s="16" t="str">
        <f aca="false">IF(OR(G720="",G720=0,H720=""),"",H720/G720)</f>
        <v/>
      </c>
    </row>
    <row r="721" customFormat="false" ht="15" hidden="false" customHeight="false" outlineLevel="0" collapsed="false">
      <c r="A721" s="12"/>
      <c r="B721" s="6"/>
      <c r="C721" s="13" t="str">
        <f aca="false">IF(B721="","",IFERROR(INDEX(สินค้า!$B$2:$B$101,MATCH(B721,สินค้า!$A$2:$A$101,0)),"ไม่พบรหัส"))</f>
        <v/>
      </c>
      <c r="D721" s="14" t="str">
        <f aca="false">IF(B721="","",IFERROR(INDEX(สินค้า!$D$2:$D$101,MATCH(B721,สินค้า!$A$2:$A$101,0)),""))</f>
        <v/>
      </c>
      <c r="E721" s="6"/>
      <c r="F721" s="8"/>
      <c r="G721" s="8"/>
      <c r="H721" s="8"/>
      <c r="I721" s="15"/>
      <c r="J721" s="15"/>
      <c r="K721" s="10" t="str">
        <f aca="false">IF(J721&lt;&gt;"",J721,IF(I721="","",I721*IFERROR(INDEX(สินค้า!$G$2:$G$101,MATCH(B721,สินค้า!$A$2:$A$101,0)),0)))</f>
        <v/>
      </c>
      <c r="L721" s="16" t="str">
        <f aca="false">IF(OR(F721="",F721=0,G721=""),"",G721/F721)</f>
        <v/>
      </c>
      <c r="M721" s="16" t="str">
        <f aca="false">IF(OR(G721="",G721=0,H721=""),"",H721/G721)</f>
        <v/>
      </c>
    </row>
    <row r="722" customFormat="false" ht="15" hidden="false" customHeight="false" outlineLevel="0" collapsed="false">
      <c r="A722" s="12"/>
      <c r="B722" s="6"/>
      <c r="C722" s="13" t="str">
        <f aca="false">IF(B722="","",IFERROR(INDEX(สินค้า!$B$2:$B$101,MATCH(B722,สินค้า!$A$2:$A$101,0)),"ไม่พบรหัส"))</f>
        <v/>
      </c>
      <c r="D722" s="14" t="str">
        <f aca="false">IF(B722="","",IFERROR(INDEX(สินค้า!$D$2:$D$101,MATCH(B722,สินค้า!$A$2:$A$101,0)),""))</f>
        <v/>
      </c>
      <c r="E722" s="6"/>
      <c r="F722" s="8"/>
      <c r="G722" s="8"/>
      <c r="H722" s="8"/>
      <c r="I722" s="15"/>
      <c r="J722" s="15"/>
      <c r="K722" s="10" t="str">
        <f aca="false">IF(J722&lt;&gt;"",J722,IF(I722="","",I722*IFERROR(INDEX(สินค้า!$G$2:$G$101,MATCH(B722,สินค้า!$A$2:$A$101,0)),0)))</f>
        <v/>
      </c>
      <c r="L722" s="16" t="str">
        <f aca="false">IF(OR(F722="",F722=0,G722=""),"",G722/F722)</f>
        <v/>
      </c>
      <c r="M722" s="16" t="str">
        <f aca="false">IF(OR(G722="",G722=0,H722=""),"",H722/G722)</f>
        <v/>
      </c>
    </row>
    <row r="723" customFormat="false" ht="15" hidden="false" customHeight="false" outlineLevel="0" collapsed="false">
      <c r="A723" s="12"/>
      <c r="B723" s="6"/>
      <c r="C723" s="13" t="str">
        <f aca="false">IF(B723="","",IFERROR(INDEX(สินค้า!$B$2:$B$101,MATCH(B723,สินค้า!$A$2:$A$101,0)),"ไม่พบรหัส"))</f>
        <v/>
      </c>
      <c r="D723" s="14" t="str">
        <f aca="false">IF(B723="","",IFERROR(INDEX(สินค้า!$D$2:$D$101,MATCH(B723,สินค้า!$A$2:$A$101,0)),""))</f>
        <v/>
      </c>
      <c r="E723" s="6"/>
      <c r="F723" s="8"/>
      <c r="G723" s="8"/>
      <c r="H723" s="8"/>
      <c r="I723" s="15"/>
      <c r="J723" s="15"/>
      <c r="K723" s="10" t="str">
        <f aca="false">IF(J723&lt;&gt;"",J723,IF(I723="","",I723*IFERROR(INDEX(สินค้า!$G$2:$G$101,MATCH(B723,สินค้า!$A$2:$A$101,0)),0)))</f>
        <v/>
      </c>
      <c r="L723" s="16" t="str">
        <f aca="false">IF(OR(F723="",F723=0,G723=""),"",G723/F723)</f>
        <v/>
      </c>
      <c r="M723" s="16" t="str">
        <f aca="false">IF(OR(G723="",G723=0,H723=""),"",H723/G723)</f>
        <v/>
      </c>
    </row>
    <row r="724" customFormat="false" ht="15" hidden="false" customHeight="false" outlineLevel="0" collapsed="false">
      <c r="A724" s="12"/>
      <c r="B724" s="6"/>
      <c r="C724" s="13" t="str">
        <f aca="false">IF(B724="","",IFERROR(INDEX(สินค้า!$B$2:$B$101,MATCH(B724,สินค้า!$A$2:$A$101,0)),"ไม่พบรหัส"))</f>
        <v/>
      </c>
      <c r="D724" s="14" t="str">
        <f aca="false">IF(B724="","",IFERROR(INDEX(สินค้า!$D$2:$D$101,MATCH(B724,สินค้า!$A$2:$A$101,0)),""))</f>
        <v/>
      </c>
      <c r="E724" s="6"/>
      <c r="F724" s="8"/>
      <c r="G724" s="8"/>
      <c r="H724" s="8"/>
      <c r="I724" s="15"/>
      <c r="J724" s="15"/>
      <c r="K724" s="10" t="str">
        <f aca="false">IF(J724&lt;&gt;"",J724,IF(I724="","",I724*IFERROR(INDEX(สินค้า!$G$2:$G$101,MATCH(B724,สินค้า!$A$2:$A$101,0)),0)))</f>
        <v/>
      </c>
      <c r="L724" s="16" t="str">
        <f aca="false">IF(OR(F724="",F724=0,G724=""),"",G724/F724)</f>
        <v/>
      </c>
      <c r="M724" s="16" t="str">
        <f aca="false">IF(OR(G724="",G724=0,H724=""),"",H724/G724)</f>
        <v/>
      </c>
    </row>
    <row r="725" customFormat="false" ht="15" hidden="false" customHeight="false" outlineLevel="0" collapsed="false">
      <c r="A725" s="12"/>
      <c r="B725" s="6"/>
      <c r="C725" s="13" t="str">
        <f aca="false">IF(B725="","",IFERROR(INDEX(สินค้า!$B$2:$B$101,MATCH(B725,สินค้า!$A$2:$A$101,0)),"ไม่พบรหัส"))</f>
        <v/>
      </c>
      <c r="D725" s="14" t="str">
        <f aca="false">IF(B725="","",IFERROR(INDEX(สินค้า!$D$2:$D$101,MATCH(B725,สินค้า!$A$2:$A$101,0)),""))</f>
        <v/>
      </c>
      <c r="E725" s="6"/>
      <c r="F725" s="8"/>
      <c r="G725" s="8"/>
      <c r="H725" s="8"/>
      <c r="I725" s="15"/>
      <c r="J725" s="15"/>
      <c r="K725" s="10" t="str">
        <f aca="false">IF(J725&lt;&gt;"",J725,IF(I725="","",I725*IFERROR(INDEX(สินค้า!$G$2:$G$101,MATCH(B725,สินค้า!$A$2:$A$101,0)),0)))</f>
        <v/>
      </c>
      <c r="L725" s="16" t="str">
        <f aca="false">IF(OR(F725="",F725=0,G725=""),"",G725/F725)</f>
        <v/>
      </c>
      <c r="M725" s="16" t="str">
        <f aca="false">IF(OR(G725="",G725=0,H725=""),"",H725/G725)</f>
        <v/>
      </c>
    </row>
    <row r="726" customFormat="false" ht="15" hidden="false" customHeight="false" outlineLevel="0" collapsed="false">
      <c r="A726" s="12"/>
      <c r="B726" s="6"/>
      <c r="C726" s="13" t="str">
        <f aca="false">IF(B726="","",IFERROR(INDEX(สินค้า!$B$2:$B$101,MATCH(B726,สินค้า!$A$2:$A$101,0)),"ไม่พบรหัส"))</f>
        <v/>
      </c>
      <c r="D726" s="14" t="str">
        <f aca="false">IF(B726="","",IFERROR(INDEX(สินค้า!$D$2:$D$101,MATCH(B726,สินค้า!$A$2:$A$101,0)),""))</f>
        <v/>
      </c>
      <c r="E726" s="6"/>
      <c r="F726" s="8"/>
      <c r="G726" s="8"/>
      <c r="H726" s="8"/>
      <c r="I726" s="15"/>
      <c r="J726" s="15"/>
      <c r="K726" s="10" t="str">
        <f aca="false">IF(J726&lt;&gt;"",J726,IF(I726="","",I726*IFERROR(INDEX(สินค้า!$G$2:$G$101,MATCH(B726,สินค้า!$A$2:$A$101,0)),0)))</f>
        <v/>
      </c>
      <c r="L726" s="16" t="str">
        <f aca="false">IF(OR(F726="",F726=0,G726=""),"",G726/F726)</f>
        <v/>
      </c>
      <c r="M726" s="16" t="str">
        <f aca="false">IF(OR(G726="",G726=0,H726=""),"",H726/G726)</f>
        <v/>
      </c>
    </row>
    <row r="727" customFormat="false" ht="15" hidden="false" customHeight="false" outlineLevel="0" collapsed="false">
      <c r="A727" s="12"/>
      <c r="B727" s="6"/>
      <c r="C727" s="13" t="str">
        <f aca="false">IF(B727="","",IFERROR(INDEX(สินค้า!$B$2:$B$101,MATCH(B727,สินค้า!$A$2:$A$101,0)),"ไม่พบรหัส"))</f>
        <v/>
      </c>
      <c r="D727" s="14" t="str">
        <f aca="false">IF(B727="","",IFERROR(INDEX(สินค้า!$D$2:$D$101,MATCH(B727,สินค้า!$A$2:$A$101,0)),""))</f>
        <v/>
      </c>
      <c r="E727" s="6"/>
      <c r="F727" s="8"/>
      <c r="G727" s="8"/>
      <c r="H727" s="8"/>
      <c r="I727" s="15"/>
      <c r="J727" s="15"/>
      <c r="K727" s="10" t="str">
        <f aca="false">IF(J727&lt;&gt;"",J727,IF(I727="","",I727*IFERROR(INDEX(สินค้า!$G$2:$G$101,MATCH(B727,สินค้า!$A$2:$A$101,0)),0)))</f>
        <v/>
      </c>
      <c r="L727" s="16" t="str">
        <f aca="false">IF(OR(F727="",F727=0,G727=""),"",G727/F727)</f>
        <v/>
      </c>
      <c r="M727" s="16" t="str">
        <f aca="false">IF(OR(G727="",G727=0,H727=""),"",H727/G727)</f>
        <v/>
      </c>
    </row>
    <row r="728" customFormat="false" ht="15" hidden="false" customHeight="false" outlineLevel="0" collapsed="false">
      <c r="A728" s="12"/>
      <c r="B728" s="6"/>
      <c r="C728" s="13" t="str">
        <f aca="false">IF(B728="","",IFERROR(INDEX(สินค้า!$B$2:$B$101,MATCH(B728,สินค้า!$A$2:$A$101,0)),"ไม่พบรหัส"))</f>
        <v/>
      </c>
      <c r="D728" s="14" t="str">
        <f aca="false">IF(B728="","",IFERROR(INDEX(สินค้า!$D$2:$D$101,MATCH(B728,สินค้า!$A$2:$A$101,0)),""))</f>
        <v/>
      </c>
      <c r="E728" s="6"/>
      <c r="F728" s="8"/>
      <c r="G728" s="8"/>
      <c r="H728" s="8"/>
      <c r="I728" s="15"/>
      <c r="J728" s="15"/>
      <c r="K728" s="10" t="str">
        <f aca="false">IF(J728&lt;&gt;"",J728,IF(I728="","",I728*IFERROR(INDEX(สินค้า!$G$2:$G$101,MATCH(B728,สินค้า!$A$2:$A$101,0)),0)))</f>
        <v/>
      </c>
      <c r="L728" s="16" t="str">
        <f aca="false">IF(OR(F728="",F728=0,G728=""),"",G728/F728)</f>
        <v/>
      </c>
      <c r="M728" s="16" t="str">
        <f aca="false">IF(OR(G728="",G728=0,H728=""),"",H728/G728)</f>
        <v/>
      </c>
    </row>
    <row r="729" customFormat="false" ht="15" hidden="false" customHeight="false" outlineLevel="0" collapsed="false">
      <c r="A729" s="12"/>
      <c r="B729" s="6"/>
      <c r="C729" s="13" t="str">
        <f aca="false">IF(B729="","",IFERROR(INDEX(สินค้า!$B$2:$B$101,MATCH(B729,สินค้า!$A$2:$A$101,0)),"ไม่พบรหัส"))</f>
        <v/>
      </c>
      <c r="D729" s="14" t="str">
        <f aca="false">IF(B729="","",IFERROR(INDEX(สินค้า!$D$2:$D$101,MATCH(B729,สินค้า!$A$2:$A$101,0)),""))</f>
        <v/>
      </c>
      <c r="E729" s="6"/>
      <c r="F729" s="8"/>
      <c r="G729" s="8"/>
      <c r="H729" s="8"/>
      <c r="I729" s="15"/>
      <c r="J729" s="15"/>
      <c r="K729" s="10" t="str">
        <f aca="false">IF(J729&lt;&gt;"",J729,IF(I729="","",I729*IFERROR(INDEX(สินค้า!$G$2:$G$101,MATCH(B729,สินค้า!$A$2:$A$101,0)),0)))</f>
        <v/>
      </c>
      <c r="L729" s="16" t="str">
        <f aca="false">IF(OR(F729="",F729=0,G729=""),"",G729/F729)</f>
        <v/>
      </c>
      <c r="M729" s="16" t="str">
        <f aca="false">IF(OR(G729="",G729=0,H729=""),"",H729/G729)</f>
        <v/>
      </c>
    </row>
    <row r="730" customFormat="false" ht="15" hidden="false" customHeight="false" outlineLevel="0" collapsed="false">
      <c r="A730" s="12"/>
      <c r="B730" s="6"/>
      <c r="C730" s="13" t="str">
        <f aca="false">IF(B730="","",IFERROR(INDEX(สินค้า!$B$2:$B$101,MATCH(B730,สินค้า!$A$2:$A$101,0)),"ไม่พบรหัส"))</f>
        <v/>
      </c>
      <c r="D730" s="14" t="str">
        <f aca="false">IF(B730="","",IFERROR(INDEX(สินค้า!$D$2:$D$101,MATCH(B730,สินค้า!$A$2:$A$101,0)),""))</f>
        <v/>
      </c>
      <c r="E730" s="6"/>
      <c r="F730" s="8"/>
      <c r="G730" s="8"/>
      <c r="H730" s="8"/>
      <c r="I730" s="15"/>
      <c r="J730" s="15"/>
      <c r="K730" s="10" t="str">
        <f aca="false">IF(J730&lt;&gt;"",J730,IF(I730="","",I730*IFERROR(INDEX(สินค้า!$G$2:$G$101,MATCH(B730,สินค้า!$A$2:$A$101,0)),0)))</f>
        <v/>
      </c>
      <c r="L730" s="16" t="str">
        <f aca="false">IF(OR(F730="",F730=0,G730=""),"",G730/F730)</f>
        <v/>
      </c>
      <c r="M730" s="16" t="str">
        <f aca="false">IF(OR(G730="",G730=0,H730=""),"",H730/G730)</f>
        <v/>
      </c>
    </row>
    <row r="731" customFormat="false" ht="15" hidden="false" customHeight="false" outlineLevel="0" collapsed="false">
      <c r="A731" s="12"/>
      <c r="B731" s="6"/>
      <c r="C731" s="13" t="str">
        <f aca="false">IF(B731="","",IFERROR(INDEX(สินค้า!$B$2:$B$101,MATCH(B731,สินค้า!$A$2:$A$101,0)),"ไม่พบรหัส"))</f>
        <v/>
      </c>
      <c r="D731" s="14" t="str">
        <f aca="false">IF(B731="","",IFERROR(INDEX(สินค้า!$D$2:$D$101,MATCH(B731,สินค้า!$A$2:$A$101,0)),""))</f>
        <v/>
      </c>
      <c r="E731" s="6"/>
      <c r="F731" s="8"/>
      <c r="G731" s="8"/>
      <c r="H731" s="8"/>
      <c r="I731" s="15"/>
      <c r="J731" s="15"/>
      <c r="K731" s="10" t="str">
        <f aca="false">IF(J731&lt;&gt;"",J731,IF(I731="","",I731*IFERROR(INDEX(สินค้า!$G$2:$G$101,MATCH(B731,สินค้า!$A$2:$A$101,0)),0)))</f>
        <v/>
      </c>
      <c r="L731" s="16" t="str">
        <f aca="false">IF(OR(F731="",F731=0,G731=""),"",G731/F731)</f>
        <v/>
      </c>
      <c r="M731" s="16" t="str">
        <f aca="false">IF(OR(G731="",G731=0,H731=""),"",H731/G731)</f>
        <v/>
      </c>
    </row>
    <row r="732" customFormat="false" ht="15" hidden="false" customHeight="false" outlineLevel="0" collapsed="false">
      <c r="A732" s="12"/>
      <c r="B732" s="6"/>
      <c r="C732" s="13" t="str">
        <f aca="false">IF(B732="","",IFERROR(INDEX(สินค้า!$B$2:$B$101,MATCH(B732,สินค้า!$A$2:$A$101,0)),"ไม่พบรหัส"))</f>
        <v/>
      </c>
      <c r="D732" s="14" t="str">
        <f aca="false">IF(B732="","",IFERROR(INDEX(สินค้า!$D$2:$D$101,MATCH(B732,สินค้า!$A$2:$A$101,0)),""))</f>
        <v/>
      </c>
      <c r="E732" s="6"/>
      <c r="F732" s="8"/>
      <c r="G732" s="8"/>
      <c r="H732" s="8"/>
      <c r="I732" s="15"/>
      <c r="J732" s="15"/>
      <c r="K732" s="10" t="str">
        <f aca="false">IF(J732&lt;&gt;"",J732,IF(I732="","",I732*IFERROR(INDEX(สินค้า!$G$2:$G$101,MATCH(B732,สินค้า!$A$2:$A$101,0)),0)))</f>
        <v/>
      </c>
      <c r="L732" s="16" t="str">
        <f aca="false">IF(OR(F732="",F732=0,G732=""),"",G732/F732)</f>
        <v/>
      </c>
      <c r="M732" s="16" t="str">
        <f aca="false">IF(OR(G732="",G732=0,H732=""),"",H732/G732)</f>
        <v/>
      </c>
    </row>
    <row r="733" customFormat="false" ht="15" hidden="false" customHeight="false" outlineLevel="0" collapsed="false">
      <c r="A733" s="12"/>
      <c r="B733" s="6"/>
      <c r="C733" s="13" t="str">
        <f aca="false">IF(B733="","",IFERROR(INDEX(สินค้า!$B$2:$B$101,MATCH(B733,สินค้า!$A$2:$A$101,0)),"ไม่พบรหัส"))</f>
        <v/>
      </c>
      <c r="D733" s="14" t="str">
        <f aca="false">IF(B733="","",IFERROR(INDEX(สินค้า!$D$2:$D$101,MATCH(B733,สินค้า!$A$2:$A$101,0)),""))</f>
        <v/>
      </c>
      <c r="E733" s="6"/>
      <c r="F733" s="8"/>
      <c r="G733" s="8"/>
      <c r="H733" s="8"/>
      <c r="I733" s="15"/>
      <c r="J733" s="15"/>
      <c r="K733" s="10" t="str">
        <f aca="false">IF(J733&lt;&gt;"",J733,IF(I733="","",I733*IFERROR(INDEX(สินค้า!$G$2:$G$101,MATCH(B733,สินค้า!$A$2:$A$101,0)),0)))</f>
        <v/>
      </c>
      <c r="L733" s="16" t="str">
        <f aca="false">IF(OR(F733="",F733=0,G733=""),"",G733/F733)</f>
        <v/>
      </c>
      <c r="M733" s="16" t="str">
        <f aca="false">IF(OR(G733="",G733=0,H733=""),"",H733/G733)</f>
        <v/>
      </c>
    </row>
    <row r="734" customFormat="false" ht="15" hidden="false" customHeight="false" outlineLevel="0" collapsed="false">
      <c r="A734" s="12"/>
      <c r="B734" s="6"/>
      <c r="C734" s="13" t="str">
        <f aca="false">IF(B734="","",IFERROR(INDEX(สินค้า!$B$2:$B$101,MATCH(B734,สินค้า!$A$2:$A$101,0)),"ไม่พบรหัส"))</f>
        <v/>
      </c>
      <c r="D734" s="14" t="str">
        <f aca="false">IF(B734="","",IFERROR(INDEX(สินค้า!$D$2:$D$101,MATCH(B734,สินค้า!$A$2:$A$101,0)),""))</f>
        <v/>
      </c>
      <c r="E734" s="6"/>
      <c r="F734" s="8"/>
      <c r="G734" s="8"/>
      <c r="H734" s="8"/>
      <c r="I734" s="15"/>
      <c r="J734" s="15"/>
      <c r="K734" s="10" t="str">
        <f aca="false">IF(J734&lt;&gt;"",J734,IF(I734="","",I734*IFERROR(INDEX(สินค้า!$G$2:$G$101,MATCH(B734,สินค้า!$A$2:$A$101,0)),0)))</f>
        <v/>
      </c>
      <c r="L734" s="16" t="str">
        <f aca="false">IF(OR(F734="",F734=0,G734=""),"",G734/F734)</f>
        <v/>
      </c>
      <c r="M734" s="16" t="str">
        <f aca="false">IF(OR(G734="",G734=0,H734=""),"",H734/G734)</f>
        <v/>
      </c>
    </row>
    <row r="735" customFormat="false" ht="15" hidden="false" customHeight="false" outlineLevel="0" collapsed="false">
      <c r="A735" s="12"/>
      <c r="B735" s="6"/>
      <c r="C735" s="13" t="str">
        <f aca="false">IF(B735="","",IFERROR(INDEX(สินค้า!$B$2:$B$101,MATCH(B735,สินค้า!$A$2:$A$101,0)),"ไม่พบรหัส"))</f>
        <v/>
      </c>
      <c r="D735" s="14" t="str">
        <f aca="false">IF(B735="","",IFERROR(INDEX(สินค้า!$D$2:$D$101,MATCH(B735,สินค้า!$A$2:$A$101,0)),""))</f>
        <v/>
      </c>
      <c r="E735" s="6"/>
      <c r="F735" s="8"/>
      <c r="G735" s="8"/>
      <c r="H735" s="8"/>
      <c r="I735" s="15"/>
      <c r="J735" s="15"/>
      <c r="K735" s="10" t="str">
        <f aca="false">IF(J735&lt;&gt;"",J735,IF(I735="","",I735*IFERROR(INDEX(สินค้า!$G$2:$G$101,MATCH(B735,สินค้า!$A$2:$A$101,0)),0)))</f>
        <v/>
      </c>
      <c r="L735" s="16" t="str">
        <f aca="false">IF(OR(F735="",F735=0,G735=""),"",G735/F735)</f>
        <v/>
      </c>
      <c r="M735" s="16" t="str">
        <f aca="false">IF(OR(G735="",G735=0,H735=""),"",H735/G735)</f>
        <v/>
      </c>
    </row>
    <row r="736" customFormat="false" ht="15" hidden="false" customHeight="false" outlineLevel="0" collapsed="false">
      <c r="A736" s="12"/>
      <c r="B736" s="6"/>
      <c r="C736" s="13" t="str">
        <f aca="false">IF(B736="","",IFERROR(INDEX(สินค้า!$B$2:$B$101,MATCH(B736,สินค้า!$A$2:$A$101,0)),"ไม่พบรหัส"))</f>
        <v/>
      </c>
      <c r="D736" s="14" t="str">
        <f aca="false">IF(B736="","",IFERROR(INDEX(สินค้า!$D$2:$D$101,MATCH(B736,สินค้า!$A$2:$A$101,0)),""))</f>
        <v/>
      </c>
      <c r="E736" s="6"/>
      <c r="F736" s="8"/>
      <c r="G736" s="8"/>
      <c r="H736" s="8"/>
      <c r="I736" s="15"/>
      <c r="J736" s="15"/>
      <c r="K736" s="10" t="str">
        <f aca="false">IF(J736&lt;&gt;"",J736,IF(I736="","",I736*IFERROR(INDEX(สินค้า!$G$2:$G$101,MATCH(B736,สินค้า!$A$2:$A$101,0)),0)))</f>
        <v/>
      </c>
      <c r="L736" s="16" t="str">
        <f aca="false">IF(OR(F736="",F736=0,G736=""),"",G736/F736)</f>
        <v/>
      </c>
      <c r="M736" s="16" t="str">
        <f aca="false">IF(OR(G736="",G736=0,H736=""),"",H736/G736)</f>
        <v/>
      </c>
    </row>
    <row r="737" customFormat="false" ht="15" hidden="false" customHeight="false" outlineLevel="0" collapsed="false">
      <c r="A737" s="12"/>
      <c r="B737" s="6"/>
      <c r="C737" s="13" t="str">
        <f aca="false">IF(B737="","",IFERROR(INDEX(สินค้า!$B$2:$B$101,MATCH(B737,สินค้า!$A$2:$A$101,0)),"ไม่พบรหัส"))</f>
        <v/>
      </c>
      <c r="D737" s="14" t="str">
        <f aca="false">IF(B737="","",IFERROR(INDEX(สินค้า!$D$2:$D$101,MATCH(B737,สินค้า!$A$2:$A$101,0)),""))</f>
        <v/>
      </c>
      <c r="E737" s="6"/>
      <c r="F737" s="8"/>
      <c r="G737" s="8"/>
      <c r="H737" s="8"/>
      <c r="I737" s="15"/>
      <c r="J737" s="15"/>
      <c r="K737" s="10" t="str">
        <f aca="false">IF(J737&lt;&gt;"",J737,IF(I737="","",I737*IFERROR(INDEX(สินค้า!$G$2:$G$101,MATCH(B737,สินค้า!$A$2:$A$101,0)),0)))</f>
        <v/>
      </c>
      <c r="L737" s="16" t="str">
        <f aca="false">IF(OR(F737="",F737=0,G737=""),"",G737/F737)</f>
        <v/>
      </c>
      <c r="M737" s="16" t="str">
        <f aca="false">IF(OR(G737="",G737=0,H737=""),"",H737/G737)</f>
        <v/>
      </c>
    </row>
    <row r="738" customFormat="false" ht="15" hidden="false" customHeight="false" outlineLevel="0" collapsed="false">
      <c r="A738" s="12"/>
      <c r="B738" s="6"/>
      <c r="C738" s="13" t="str">
        <f aca="false">IF(B738="","",IFERROR(INDEX(สินค้า!$B$2:$B$101,MATCH(B738,สินค้า!$A$2:$A$101,0)),"ไม่พบรหัส"))</f>
        <v/>
      </c>
      <c r="D738" s="14" t="str">
        <f aca="false">IF(B738="","",IFERROR(INDEX(สินค้า!$D$2:$D$101,MATCH(B738,สินค้า!$A$2:$A$101,0)),""))</f>
        <v/>
      </c>
      <c r="E738" s="6"/>
      <c r="F738" s="8"/>
      <c r="G738" s="8"/>
      <c r="H738" s="8"/>
      <c r="I738" s="15"/>
      <c r="J738" s="15"/>
      <c r="K738" s="10" t="str">
        <f aca="false">IF(J738&lt;&gt;"",J738,IF(I738="","",I738*IFERROR(INDEX(สินค้า!$G$2:$G$101,MATCH(B738,สินค้า!$A$2:$A$101,0)),0)))</f>
        <v/>
      </c>
      <c r="L738" s="16" t="str">
        <f aca="false">IF(OR(F738="",F738=0,G738=""),"",G738/F738)</f>
        <v/>
      </c>
      <c r="M738" s="16" t="str">
        <f aca="false">IF(OR(G738="",G738=0,H738=""),"",H738/G738)</f>
        <v/>
      </c>
    </row>
    <row r="739" customFormat="false" ht="15" hidden="false" customHeight="false" outlineLevel="0" collapsed="false">
      <c r="A739" s="12"/>
      <c r="B739" s="6"/>
      <c r="C739" s="13" t="str">
        <f aca="false">IF(B739="","",IFERROR(INDEX(สินค้า!$B$2:$B$101,MATCH(B739,สินค้า!$A$2:$A$101,0)),"ไม่พบรหัส"))</f>
        <v/>
      </c>
      <c r="D739" s="14" t="str">
        <f aca="false">IF(B739="","",IFERROR(INDEX(สินค้า!$D$2:$D$101,MATCH(B739,สินค้า!$A$2:$A$101,0)),""))</f>
        <v/>
      </c>
      <c r="E739" s="6"/>
      <c r="F739" s="8"/>
      <c r="G739" s="8"/>
      <c r="H739" s="8"/>
      <c r="I739" s="15"/>
      <c r="J739" s="15"/>
      <c r="K739" s="10" t="str">
        <f aca="false">IF(J739&lt;&gt;"",J739,IF(I739="","",I739*IFERROR(INDEX(สินค้า!$G$2:$G$101,MATCH(B739,สินค้า!$A$2:$A$101,0)),0)))</f>
        <v/>
      </c>
      <c r="L739" s="16" t="str">
        <f aca="false">IF(OR(F739="",F739=0,G739=""),"",G739/F739)</f>
        <v/>
      </c>
      <c r="M739" s="16" t="str">
        <f aca="false">IF(OR(G739="",G739=0,H739=""),"",H739/G739)</f>
        <v/>
      </c>
    </row>
    <row r="740" customFormat="false" ht="15" hidden="false" customHeight="false" outlineLevel="0" collapsed="false">
      <c r="A740" s="12"/>
      <c r="B740" s="6"/>
      <c r="C740" s="13" t="str">
        <f aca="false">IF(B740="","",IFERROR(INDEX(สินค้า!$B$2:$B$101,MATCH(B740,สินค้า!$A$2:$A$101,0)),"ไม่พบรหัส"))</f>
        <v/>
      </c>
      <c r="D740" s="14" t="str">
        <f aca="false">IF(B740="","",IFERROR(INDEX(สินค้า!$D$2:$D$101,MATCH(B740,สินค้า!$A$2:$A$101,0)),""))</f>
        <v/>
      </c>
      <c r="E740" s="6"/>
      <c r="F740" s="8"/>
      <c r="G740" s="8"/>
      <c r="H740" s="8"/>
      <c r="I740" s="15"/>
      <c r="J740" s="15"/>
      <c r="K740" s="10" t="str">
        <f aca="false">IF(J740&lt;&gt;"",J740,IF(I740="","",I740*IFERROR(INDEX(สินค้า!$G$2:$G$101,MATCH(B740,สินค้า!$A$2:$A$101,0)),0)))</f>
        <v/>
      </c>
      <c r="L740" s="16" t="str">
        <f aca="false">IF(OR(F740="",F740=0,G740=""),"",G740/F740)</f>
        <v/>
      </c>
      <c r="M740" s="16" t="str">
        <f aca="false">IF(OR(G740="",G740=0,H740=""),"",H740/G740)</f>
        <v/>
      </c>
    </row>
    <row r="741" customFormat="false" ht="15" hidden="false" customHeight="false" outlineLevel="0" collapsed="false">
      <c r="A741" s="12"/>
      <c r="B741" s="6"/>
      <c r="C741" s="13" t="str">
        <f aca="false">IF(B741="","",IFERROR(INDEX(สินค้า!$B$2:$B$101,MATCH(B741,สินค้า!$A$2:$A$101,0)),"ไม่พบรหัส"))</f>
        <v/>
      </c>
      <c r="D741" s="14" t="str">
        <f aca="false">IF(B741="","",IFERROR(INDEX(สินค้า!$D$2:$D$101,MATCH(B741,สินค้า!$A$2:$A$101,0)),""))</f>
        <v/>
      </c>
      <c r="E741" s="6"/>
      <c r="F741" s="8"/>
      <c r="G741" s="8"/>
      <c r="H741" s="8"/>
      <c r="I741" s="15"/>
      <c r="J741" s="15"/>
      <c r="K741" s="10" t="str">
        <f aca="false">IF(J741&lt;&gt;"",J741,IF(I741="","",I741*IFERROR(INDEX(สินค้า!$G$2:$G$101,MATCH(B741,สินค้า!$A$2:$A$101,0)),0)))</f>
        <v/>
      </c>
      <c r="L741" s="16" t="str">
        <f aca="false">IF(OR(F741="",F741=0,G741=""),"",G741/F741)</f>
        <v/>
      </c>
      <c r="M741" s="16" t="str">
        <f aca="false">IF(OR(G741="",G741=0,H741=""),"",H741/G741)</f>
        <v/>
      </c>
    </row>
    <row r="742" customFormat="false" ht="15" hidden="false" customHeight="false" outlineLevel="0" collapsed="false">
      <c r="A742" s="12"/>
      <c r="B742" s="6"/>
      <c r="C742" s="13" t="str">
        <f aca="false">IF(B742="","",IFERROR(INDEX(สินค้า!$B$2:$B$101,MATCH(B742,สินค้า!$A$2:$A$101,0)),"ไม่พบรหัส"))</f>
        <v/>
      </c>
      <c r="D742" s="14" t="str">
        <f aca="false">IF(B742="","",IFERROR(INDEX(สินค้า!$D$2:$D$101,MATCH(B742,สินค้า!$A$2:$A$101,0)),""))</f>
        <v/>
      </c>
      <c r="E742" s="6"/>
      <c r="F742" s="8"/>
      <c r="G742" s="8"/>
      <c r="H742" s="8"/>
      <c r="I742" s="15"/>
      <c r="J742" s="15"/>
      <c r="K742" s="10" t="str">
        <f aca="false">IF(J742&lt;&gt;"",J742,IF(I742="","",I742*IFERROR(INDEX(สินค้า!$G$2:$G$101,MATCH(B742,สินค้า!$A$2:$A$101,0)),0)))</f>
        <v/>
      </c>
      <c r="L742" s="16" t="str">
        <f aca="false">IF(OR(F742="",F742=0,G742=""),"",G742/F742)</f>
        <v/>
      </c>
      <c r="M742" s="16" t="str">
        <f aca="false">IF(OR(G742="",G742=0,H742=""),"",H742/G742)</f>
        <v/>
      </c>
    </row>
    <row r="743" customFormat="false" ht="15" hidden="false" customHeight="false" outlineLevel="0" collapsed="false">
      <c r="A743" s="12"/>
      <c r="B743" s="6"/>
      <c r="C743" s="13" t="str">
        <f aca="false">IF(B743="","",IFERROR(INDEX(สินค้า!$B$2:$B$101,MATCH(B743,สินค้า!$A$2:$A$101,0)),"ไม่พบรหัส"))</f>
        <v/>
      </c>
      <c r="D743" s="14" t="str">
        <f aca="false">IF(B743="","",IFERROR(INDEX(สินค้า!$D$2:$D$101,MATCH(B743,สินค้า!$A$2:$A$101,0)),""))</f>
        <v/>
      </c>
      <c r="E743" s="6"/>
      <c r="F743" s="8"/>
      <c r="G743" s="8"/>
      <c r="H743" s="8"/>
      <c r="I743" s="15"/>
      <c r="J743" s="15"/>
      <c r="K743" s="10" t="str">
        <f aca="false">IF(J743&lt;&gt;"",J743,IF(I743="","",I743*IFERROR(INDEX(สินค้า!$G$2:$G$101,MATCH(B743,สินค้า!$A$2:$A$101,0)),0)))</f>
        <v/>
      </c>
      <c r="L743" s="16" t="str">
        <f aca="false">IF(OR(F743="",F743=0,G743=""),"",G743/F743)</f>
        <v/>
      </c>
      <c r="M743" s="16" t="str">
        <f aca="false">IF(OR(G743="",G743=0,H743=""),"",H743/G743)</f>
        <v/>
      </c>
    </row>
    <row r="744" customFormat="false" ht="15" hidden="false" customHeight="false" outlineLevel="0" collapsed="false">
      <c r="A744" s="12"/>
      <c r="B744" s="6"/>
      <c r="C744" s="13" t="str">
        <f aca="false">IF(B744="","",IFERROR(INDEX(สินค้า!$B$2:$B$101,MATCH(B744,สินค้า!$A$2:$A$101,0)),"ไม่พบรหัส"))</f>
        <v/>
      </c>
      <c r="D744" s="14" t="str">
        <f aca="false">IF(B744="","",IFERROR(INDEX(สินค้า!$D$2:$D$101,MATCH(B744,สินค้า!$A$2:$A$101,0)),""))</f>
        <v/>
      </c>
      <c r="E744" s="6"/>
      <c r="F744" s="8"/>
      <c r="G744" s="8"/>
      <c r="H744" s="8"/>
      <c r="I744" s="15"/>
      <c r="J744" s="15"/>
      <c r="K744" s="10" t="str">
        <f aca="false">IF(J744&lt;&gt;"",J744,IF(I744="","",I744*IFERROR(INDEX(สินค้า!$G$2:$G$101,MATCH(B744,สินค้า!$A$2:$A$101,0)),0)))</f>
        <v/>
      </c>
      <c r="L744" s="16" t="str">
        <f aca="false">IF(OR(F744="",F744=0,G744=""),"",G744/F744)</f>
        <v/>
      </c>
      <c r="M744" s="16" t="str">
        <f aca="false">IF(OR(G744="",G744=0,H744=""),"",H744/G744)</f>
        <v/>
      </c>
    </row>
    <row r="745" customFormat="false" ht="15" hidden="false" customHeight="false" outlineLevel="0" collapsed="false">
      <c r="A745" s="12"/>
      <c r="B745" s="6"/>
      <c r="C745" s="13" t="str">
        <f aca="false">IF(B745="","",IFERROR(INDEX(สินค้า!$B$2:$B$101,MATCH(B745,สินค้า!$A$2:$A$101,0)),"ไม่พบรหัส"))</f>
        <v/>
      </c>
      <c r="D745" s="14" t="str">
        <f aca="false">IF(B745="","",IFERROR(INDEX(สินค้า!$D$2:$D$101,MATCH(B745,สินค้า!$A$2:$A$101,0)),""))</f>
        <v/>
      </c>
      <c r="E745" s="6"/>
      <c r="F745" s="8"/>
      <c r="G745" s="8"/>
      <c r="H745" s="8"/>
      <c r="I745" s="15"/>
      <c r="J745" s="15"/>
      <c r="K745" s="10" t="str">
        <f aca="false">IF(J745&lt;&gt;"",J745,IF(I745="","",I745*IFERROR(INDEX(สินค้า!$G$2:$G$101,MATCH(B745,สินค้า!$A$2:$A$101,0)),0)))</f>
        <v/>
      </c>
      <c r="L745" s="16" t="str">
        <f aca="false">IF(OR(F745="",F745=0,G745=""),"",G745/F745)</f>
        <v/>
      </c>
      <c r="M745" s="16" t="str">
        <f aca="false">IF(OR(G745="",G745=0,H745=""),"",H745/G745)</f>
        <v/>
      </c>
    </row>
    <row r="746" customFormat="false" ht="15" hidden="false" customHeight="false" outlineLevel="0" collapsed="false">
      <c r="A746" s="12"/>
      <c r="B746" s="6"/>
      <c r="C746" s="13" t="str">
        <f aca="false">IF(B746="","",IFERROR(INDEX(สินค้า!$B$2:$B$101,MATCH(B746,สินค้า!$A$2:$A$101,0)),"ไม่พบรหัส"))</f>
        <v/>
      </c>
      <c r="D746" s="14" t="str">
        <f aca="false">IF(B746="","",IFERROR(INDEX(สินค้า!$D$2:$D$101,MATCH(B746,สินค้า!$A$2:$A$101,0)),""))</f>
        <v/>
      </c>
      <c r="E746" s="6"/>
      <c r="F746" s="8"/>
      <c r="G746" s="8"/>
      <c r="H746" s="8"/>
      <c r="I746" s="15"/>
      <c r="J746" s="15"/>
      <c r="K746" s="10" t="str">
        <f aca="false">IF(J746&lt;&gt;"",J746,IF(I746="","",I746*IFERROR(INDEX(สินค้า!$G$2:$G$101,MATCH(B746,สินค้า!$A$2:$A$101,0)),0)))</f>
        <v/>
      </c>
      <c r="L746" s="16" t="str">
        <f aca="false">IF(OR(F746="",F746=0,G746=""),"",G746/F746)</f>
        <v/>
      </c>
      <c r="M746" s="16" t="str">
        <f aca="false">IF(OR(G746="",G746=0,H746=""),"",H746/G746)</f>
        <v/>
      </c>
    </row>
    <row r="747" customFormat="false" ht="15" hidden="false" customHeight="false" outlineLevel="0" collapsed="false">
      <c r="A747" s="12"/>
      <c r="B747" s="6"/>
      <c r="C747" s="13" t="str">
        <f aca="false">IF(B747="","",IFERROR(INDEX(สินค้า!$B$2:$B$101,MATCH(B747,สินค้า!$A$2:$A$101,0)),"ไม่พบรหัส"))</f>
        <v/>
      </c>
      <c r="D747" s="14" t="str">
        <f aca="false">IF(B747="","",IFERROR(INDEX(สินค้า!$D$2:$D$101,MATCH(B747,สินค้า!$A$2:$A$101,0)),""))</f>
        <v/>
      </c>
      <c r="E747" s="6"/>
      <c r="F747" s="8"/>
      <c r="G747" s="8"/>
      <c r="H747" s="8"/>
      <c r="I747" s="15"/>
      <c r="J747" s="15"/>
      <c r="K747" s="10" t="str">
        <f aca="false">IF(J747&lt;&gt;"",J747,IF(I747="","",I747*IFERROR(INDEX(สินค้า!$G$2:$G$101,MATCH(B747,สินค้า!$A$2:$A$101,0)),0)))</f>
        <v/>
      </c>
      <c r="L747" s="16" t="str">
        <f aca="false">IF(OR(F747="",F747=0,G747=""),"",G747/F747)</f>
        <v/>
      </c>
      <c r="M747" s="16" t="str">
        <f aca="false">IF(OR(G747="",G747=0,H747=""),"",H747/G747)</f>
        <v/>
      </c>
    </row>
    <row r="748" customFormat="false" ht="15" hidden="false" customHeight="false" outlineLevel="0" collapsed="false">
      <c r="A748" s="12"/>
      <c r="B748" s="6"/>
      <c r="C748" s="13" t="str">
        <f aca="false">IF(B748="","",IFERROR(INDEX(สินค้า!$B$2:$B$101,MATCH(B748,สินค้า!$A$2:$A$101,0)),"ไม่พบรหัส"))</f>
        <v/>
      </c>
      <c r="D748" s="14" t="str">
        <f aca="false">IF(B748="","",IFERROR(INDEX(สินค้า!$D$2:$D$101,MATCH(B748,สินค้า!$A$2:$A$101,0)),""))</f>
        <v/>
      </c>
      <c r="E748" s="6"/>
      <c r="F748" s="8"/>
      <c r="G748" s="8"/>
      <c r="H748" s="8"/>
      <c r="I748" s="15"/>
      <c r="J748" s="15"/>
      <c r="K748" s="10" t="str">
        <f aca="false">IF(J748&lt;&gt;"",J748,IF(I748="","",I748*IFERROR(INDEX(สินค้า!$G$2:$G$101,MATCH(B748,สินค้า!$A$2:$A$101,0)),0)))</f>
        <v/>
      </c>
      <c r="L748" s="16" t="str">
        <f aca="false">IF(OR(F748="",F748=0,G748=""),"",G748/F748)</f>
        <v/>
      </c>
      <c r="M748" s="16" t="str">
        <f aca="false">IF(OR(G748="",G748=0,H748=""),"",H748/G748)</f>
        <v/>
      </c>
    </row>
    <row r="749" customFormat="false" ht="15" hidden="false" customHeight="false" outlineLevel="0" collapsed="false">
      <c r="A749" s="12"/>
      <c r="B749" s="6"/>
      <c r="C749" s="13" t="str">
        <f aca="false">IF(B749="","",IFERROR(INDEX(สินค้า!$B$2:$B$101,MATCH(B749,สินค้า!$A$2:$A$101,0)),"ไม่พบรหัส"))</f>
        <v/>
      </c>
      <c r="D749" s="14" t="str">
        <f aca="false">IF(B749="","",IFERROR(INDEX(สินค้า!$D$2:$D$101,MATCH(B749,สินค้า!$A$2:$A$101,0)),""))</f>
        <v/>
      </c>
      <c r="E749" s="6"/>
      <c r="F749" s="8"/>
      <c r="G749" s="8"/>
      <c r="H749" s="8"/>
      <c r="I749" s="15"/>
      <c r="J749" s="15"/>
      <c r="K749" s="10" t="str">
        <f aca="false">IF(J749&lt;&gt;"",J749,IF(I749="","",I749*IFERROR(INDEX(สินค้า!$G$2:$G$101,MATCH(B749,สินค้า!$A$2:$A$101,0)),0)))</f>
        <v/>
      </c>
      <c r="L749" s="16" t="str">
        <f aca="false">IF(OR(F749="",F749=0,G749=""),"",G749/F749)</f>
        <v/>
      </c>
      <c r="M749" s="16" t="str">
        <f aca="false">IF(OR(G749="",G749=0,H749=""),"",H749/G749)</f>
        <v/>
      </c>
    </row>
    <row r="750" customFormat="false" ht="15" hidden="false" customHeight="false" outlineLevel="0" collapsed="false">
      <c r="A750" s="12"/>
      <c r="B750" s="6"/>
      <c r="C750" s="13" t="str">
        <f aca="false">IF(B750="","",IFERROR(INDEX(สินค้า!$B$2:$B$101,MATCH(B750,สินค้า!$A$2:$A$101,0)),"ไม่พบรหัส"))</f>
        <v/>
      </c>
      <c r="D750" s="14" t="str">
        <f aca="false">IF(B750="","",IFERROR(INDEX(สินค้า!$D$2:$D$101,MATCH(B750,สินค้า!$A$2:$A$101,0)),""))</f>
        <v/>
      </c>
      <c r="E750" s="6"/>
      <c r="F750" s="8"/>
      <c r="G750" s="8"/>
      <c r="H750" s="8"/>
      <c r="I750" s="15"/>
      <c r="J750" s="15"/>
      <c r="K750" s="10" t="str">
        <f aca="false">IF(J750&lt;&gt;"",J750,IF(I750="","",I750*IFERROR(INDEX(สินค้า!$G$2:$G$101,MATCH(B750,สินค้า!$A$2:$A$101,0)),0)))</f>
        <v/>
      </c>
      <c r="L750" s="16" t="str">
        <f aca="false">IF(OR(F750="",F750=0,G750=""),"",G750/F750)</f>
        <v/>
      </c>
      <c r="M750" s="16" t="str">
        <f aca="false">IF(OR(G750="",G750=0,H750=""),"",H750/G750)</f>
        <v/>
      </c>
    </row>
    <row r="751" customFormat="false" ht="15" hidden="false" customHeight="false" outlineLevel="0" collapsed="false">
      <c r="A751" s="12"/>
      <c r="B751" s="6"/>
      <c r="C751" s="13" t="str">
        <f aca="false">IF(B751="","",IFERROR(INDEX(สินค้า!$B$2:$B$101,MATCH(B751,สินค้า!$A$2:$A$101,0)),"ไม่พบรหัส"))</f>
        <v/>
      </c>
      <c r="D751" s="14" t="str">
        <f aca="false">IF(B751="","",IFERROR(INDEX(สินค้า!$D$2:$D$101,MATCH(B751,สินค้า!$A$2:$A$101,0)),""))</f>
        <v/>
      </c>
      <c r="E751" s="6"/>
      <c r="F751" s="8"/>
      <c r="G751" s="8"/>
      <c r="H751" s="8"/>
      <c r="I751" s="15"/>
      <c r="J751" s="15"/>
      <c r="K751" s="10" t="str">
        <f aca="false">IF(J751&lt;&gt;"",J751,IF(I751="","",I751*IFERROR(INDEX(สินค้า!$G$2:$G$101,MATCH(B751,สินค้า!$A$2:$A$101,0)),0)))</f>
        <v/>
      </c>
      <c r="L751" s="16" t="str">
        <f aca="false">IF(OR(F751="",F751=0,G751=""),"",G751/F751)</f>
        <v/>
      </c>
      <c r="M751" s="16" t="str">
        <f aca="false">IF(OR(G751="",G751=0,H751=""),"",H751/G751)</f>
        <v/>
      </c>
    </row>
    <row r="752" customFormat="false" ht="15" hidden="false" customHeight="false" outlineLevel="0" collapsed="false">
      <c r="A752" s="12"/>
      <c r="B752" s="6"/>
      <c r="C752" s="13" t="str">
        <f aca="false">IF(B752="","",IFERROR(INDEX(สินค้า!$B$2:$B$101,MATCH(B752,สินค้า!$A$2:$A$101,0)),"ไม่พบรหัส"))</f>
        <v/>
      </c>
      <c r="D752" s="14" t="str">
        <f aca="false">IF(B752="","",IFERROR(INDEX(สินค้า!$D$2:$D$101,MATCH(B752,สินค้า!$A$2:$A$101,0)),""))</f>
        <v/>
      </c>
      <c r="E752" s="6"/>
      <c r="F752" s="8"/>
      <c r="G752" s="8"/>
      <c r="H752" s="8"/>
      <c r="I752" s="15"/>
      <c r="J752" s="15"/>
      <c r="K752" s="10" t="str">
        <f aca="false">IF(J752&lt;&gt;"",J752,IF(I752="","",I752*IFERROR(INDEX(สินค้า!$G$2:$G$101,MATCH(B752,สินค้า!$A$2:$A$101,0)),0)))</f>
        <v/>
      </c>
      <c r="L752" s="16" t="str">
        <f aca="false">IF(OR(F752="",F752=0,G752=""),"",G752/F752)</f>
        <v/>
      </c>
      <c r="M752" s="16" t="str">
        <f aca="false">IF(OR(G752="",G752=0,H752=""),"",H752/G752)</f>
        <v/>
      </c>
    </row>
    <row r="753" customFormat="false" ht="15" hidden="false" customHeight="false" outlineLevel="0" collapsed="false">
      <c r="A753" s="12"/>
      <c r="B753" s="6"/>
      <c r="C753" s="13" t="str">
        <f aca="false">IF(B753="","",IFERROR(INDEX(สินค้า!$B$2:$B$101,MATCH(B753,สินค้า!$A$2:$A$101,0)),"ไม่พบรหัส"))</f>
        <v/>
      </c>
      <c r="D753" s="14" t="str">
        <f aca="false">IF(B753="","",IFERROR(INDEX(สินค้า!$D$2:$D$101,MATCH(B753,สินค้า!$A$2:$A$101,0)),""))</f>
        <v/>
      </c>
      <c r="E753" s="6"/>
      <c r="F753" s="8"/>
      <c r="G753" s="8"/>
      <c r="H753" s="8"/>
      <c r="I753" s="15"/>
      <c r="J753" s="15"/>
      <c r="K753" s="10" t="str">
        <f aca="false">IF(J753&lt;&gt;"",J753,IF(I753="","",I753*IFERROR(INDEX(สินค้า!$G$2:$G$101,MATCH(B753,สินค้า!$A$2:$A$101,0)),0)))</f>
        <v/>
      </c>
      <c r="L753" s="16" t="str">
        <f aca="false">IF(OR(F753="",F753=0,G753=""),"",G753/F753)</f>
        <v/>
      </c>
      <c r="M753" s="16" t="str">
        <f aca="false">IF(OR(G753="",G753=0,H753=""),"",H753/G753)</f>
        <v/>
      </c>
    </row>
    <row r="754" customFormat="false" ht="15" hidden="false" customHeight="false" outlineLevel="0" collapsed="false">
      <c r="A754" s="12"/>
      <c r="B754" s="6"/>
      <c r="C754" s="13" t="str">
        <f aca="false">IF(B754="","",IFERROR(INDEX(สินค้า!$B$2:$B$101,MATCH(B754,สินค้า!$A$2:$A$101,0)),"ไม่พบรหัส"))</f>
        <v/>
      </c>
      <c r="D754" s="14" t="str">
        <f aca="false">IF(B754="","",IFERROR(INDEX(สินค้า!$D$2:$D$101,MATCH(B754,สินค้า!$A$2:$A$101,0)),""))</f>
        <v/>
      </c>
      <c r="E754" s="6"/>
      <c r="F754" s="8"/>
      <c r="G754" s="8"/>
      <c r="H754" s="8"/>
      <c r="I754" s="15"/>
      <c r="J754" s="15"/>
      <c r="K754" s="10" t="str">
        <f aca="false">IF(J754&lt;&gt;"",J754,IF(I754="","",I754*IFERROR(INDEX(สินค้า!$G$2:$G$101,MATCH(B754,สินค้า!$A$2:$A$101,0)),0)))</f>
        <v/>
      </c>
      <c r="L754" s="16" t="str">
        <f aca="false">IF(OR(F754="",F754=0,G754=""),"",G754/F754)</f>
        <v/>
      </c>
      <c r="M754" s="16" t="str">
        <f aca="false">IF(OR(G754="",G754=0,H754=""),"",H754/G754)</f>
        <v/>
      </c>
    </row>
    <row r="755" customFormat="false" ht="15" hidden="false" customHeight="false" outlineLevel="0" collapsed="false">
      <c r="A755" s="12"/>
      <c r="B755" s="6"/>
      <c r="C755" s="13" t="str">
        <f aca="false">IF(B755="","",IFERROR(INDEX(สินค้า!$B$2:$B$101,MATCH(B755,สินค้า!$A$2:$A$101,0)),"ไม่พบรหัส"))</f>
        <v/>
      </c>
      <c r="D755" s="14" t="str">
        <f aca="false">IF(B755="","",IFERROR(INDEX(สินค้า!$D$2:$D$101,MATCH(B755,สินค้า!$A$2:$A$101,0)),""))</f>
        <v/>
      </c>
      <c r="E755" s="6"/>
      <c r="F755" s="8"/>
      <c r="G755" s="8"/>
      <c r="H755" s="8"/>
      <c r="I755" s="15"/>
      <c r="J755" s="15"/>
      <c r="K755" s="10" t="str">
        <f aca="false">IF(J755&lt;&gt;"",J755,IF(I755="","",I755*IFERROR(INDEX(สินค้า!$G$2:$G$101,MATCH(B755,สินค้า!$A$2:$A$101,0)),0)))</f>
        <v/>
      </c>
      <c r="L755" s="16" t="str">
        <f aca="false">IF(OR(F755="",F755=0,G755=""),"",G755/F755)</f>
        <v/>
      </c>
      <c r="M755" s="16" t="str">
        <f aca="false">IF(OR(G755="",G755=0,H755=""),"",H755/G755)</f>
        <v/>
      </c>
    </row>
    <row r="756" customFormat="false" ht="15" hidden="false" customHeight="false" outlineLevel="0" collapsed="false">
      <c r="A756" s="12"/>
      <c r="B756" s="6"/>
      <c r="C756" s="13" t="str">
        <f aca="false">IF(B756="","",IFERROR(INDEX(สินค้า!$B$2:$B$101,MATCH(B756,สินค้า!$A$2:$A$101,0)),"ไม่พบรหัส"))</f>
        <v/>
      </c>
      <c r="D756" s="14" t="str">
        <f aca="false">IF(B756="","",IFERROR(INDEX(สินค้า!$D$2:$D$101,MATCH(B756,สินค้า!$A$2:$A$101,0)),""))</f>
        <v/>
      </c>
      <c r="E756" s="6"/>
      <c r="F756" s="8"/>
      <c r="G756" s="8"/>
      <c r="H756" s="8"/>
      <c r="I756" s="15"/>
      <c r="J756" s="15"/>
      <c r="K756" s="10" t="str">
        <f aca="false">IF(J756&lt;&gt;"",J756,IF(I756="","",I756*IFERROR(INDEX(สินค้า!$G$2:$G$101,MATCH(B756,สินค้า!$A$2:$A$101,0)),0)))</f>
        <v/>
      </c>
      <c r="L756" s="16" t="str">
        <f aca="false">IF(OR(F756="",F756=0,G756=""),"",G756/F756)</f>
        <v/>
      </c>
      <c r="M756" s="16" t="str">
        <f aca="false">IF(OR(G756="",G756=0,H756=""),"",H756/G756)</f>
        <v/>
      </c>
    </row>
    <row r="757" customFormat="false" ht="15" hidden="false" customHeight="false" outlineLevel="0" collapsed="false">
      <c r="A757" s="12"/>
      <c r="B757" s="6"/>
      <c r="C757" s="13" t="str">
        <f aca="false">IF(B757="","",IFERROR(INDEX(สินค้า!$B$2:$B$101,MATCH(B757,สินค้า!$A$2:$A$101,0)),"ไม่พบรหัส"))</f>
        <v/>
      </c>
      <c r="D757" s="14" t="str">
        <f aca="false">IF(B757="","",IFERROR(INDEX(สินค้า!$D$2:$D$101,MATCH(B757,สินค้า!$A$2:$A$101,0)),""))</f>
        <v/>
      </c>
      <c r="E757" s="6"/>
      <c r="F757" s="8"/>
      <c r="G757" s="8"/>
      <c r="H757" s="8"/>
      <c r="I757" s="15"/>
      <c r="J757" s="15"/>
      <c r="K757" s="10" t="str">
        <f aca="false">IF(J757&lt;&gt;"",J757,IF(I757="","",I757*IFERROR(INDEX(สินค้า!$G$2:$G$101,MATCH(B757,สินค้า!$A$2:$A$101,0)),0)))</f>
        <v/>
      </c>
      <c r="L757" s="16" t="str">
        <f aca="false">IF(OR(F757="",F757=0,G757=""),"",G757/F757)</f>
        <v/>
      </c>
      <c r="M757" s="16" t="str">
        <f aca="false">IF(OR(G757="",G757=0,H757=""),"",H757/G757)</f>
        <v/>
      </c>
    </row>
    <row r="758" customFormat="false" ht="15" hidden="false" customHeight="false" outlineLevel="0" collapsed="false">
      <c r="A758" s="12"/>
      <c r="B758" s="6"/>
      <c r="C758" s="13" t="str">
        <f aca="false">IF(B758="","",IFERROR(INDEX(สินค้า!$B$2:$B$101,MATCH(B758,สินค้า!$A$2:$A$101,0)),"ไม่พบรหัส"))</f>
        <v/>
      </c>
      <c r="D758" s="14" t="str">
        <f aca="false">IF(B758="","",IFERROR(INDEX(สินค้า!$D$2:$D$101,MATCH(B758,สินค้า!$A$2:$A$101,0)),""))</f>
        <v/>
      </c>
      <c r="E758" s="6"/>
      <c r="F758" s="8"/>
      <c r="G758" s="8"/>
      <c r="H758" s="8"/>
      <c r="I758" s="15"/>
      <c r="J758" s="15"/>
      <c r="K758" s="10" t="str">
        <f aca="false">IF(J758&lt;&gt;"",J758,IF(I758="","",I758*IFERROR(INDEX(สินค้า!$G$2:$G$101,MATCH(B758,สินค้า!$A$2:$A$101,0)),0)))</f>
        <v/>
      </c>
      <c r="L758" s="16" t="str">
        <f aca="false">IF(OR(F758="",F758=0,G758=""),"",G758/F758)</f>
        <v/>
      </c>
      <c r="M758" s="16" t="str">
        <f aca="false">IF(OR(G758="",G758=0,H758=""),"",H758/G758)</f>
        <v/>
      </c>
    </row>
    <row r="759" customFormat="false" ht="15" hidden="false" customHeight="false" outlineLevel="0" collapsed="false">
      <c r="A759" s="12"/>
      <c r="B759" s="6"/>
      <c r="C759" s="13" t="str">
        <f aca="false">IF(B759="","",IFERROR(INDEX(สินค้า!$B$2:$B$101,MATCH(B759,สินค้า!$A$2:$A$101,0)),"ไม่พบรหัส"))</f>
        <v/>
      </c>
      <c r="D759" s="14" t="str">
        <f aca="false">IF(B759="","",IFERROR(INDEX(สินค้า!$D$2:$D$101,MATCH(B759,สินค้า!$A$2:$A$101,0)),""))</f>
        <v/>
      </c>
      <c r="E759" s="6"/>
      <c r="F759" s="8"/>
      <c r="G759" s="8"/>
      <c r="H759" s="8"/>
      <c r="I759" s="15"/>
      <c r="J759" s="15"/>
      <c r="K759" s="10" t="str">
        <f aca="false">IF(J759&lt;&gt;"",J759,IF(I759="","",I759*IFERROR(INDEX(สินค้า!$G$2:$G$101,MATCH(B759,สินค้า!$A$2:$A$101,0)),0)))</f>
        <v/>
      </c>
      <c r="L759" s="16" t="str">
        <f aca="false">IF(OR(F759="",F759=0,G759=""),"",G759/F759)</f>
        <v/>
      </c>
      <c r="M759" s="16" t="str">
        <f aca="false">IF(OR(G759="",G759=0,H759=""),"",H759/G759)</f>
        <v/>
      </c>
    </row>
    <row r="760" customFormat="false" ht="15" hidden="false" customHeight="false" outlineLevel="0" collapsed="false">
      <c r="A760" s="12"/>
      <c r="B760" s="6"/>
      <c r="C760" s="13" t="str">
        <f aca="false">IF(B760="","",IFERROR(INDEX(สินค้า!$B$2:$B$101,MATCH(B760,สินค้า!$A$2:$A$101,0)),"ไม่พบรหัส"))</f>
        <v/>
      </c>
      <c r="D760" s="14" t="str">
        <f aca="false">IF(B760="","",IFERROR(INDEX(สินค้า!$D$2:$D$101,MATCH(B760,สินค้า!$A$2:$A$101,0)),""))</f>
        <v/>
      </c>
      <c r="E760" s="6"/>
      <c r="F760" s="8"/>
      <c r="G760" s="8"/>
      <c r="H760" s="8"/>
      <c r="I760" s="15"/>
      <c r="J760" s="15"/>
      <c r="K760" s="10" t="str">
        <f aca="false">IF(J760&lt;&gt;"",J760,IF(I760="","",I760*IFERROR(INDEX(สินค้า!$G$2:$G$101,MATCH(B760,สินค้า!$A$2:$A$101,0)),0)))</f>
        <v/>
      </c>
      <c r="L760" s="16" t="str">
        <f aca="false">IF(OR(F760="",F760=0,G760=""),"",G760/F760)</f>
        <v/>
      </c>
      <c r="M760" s="16" t="str">
        <f aca="false">IF(OR(G760="",G760=0,H760=""),"",H760/G760)</f>
        <v/>
      </c>
    </row>
    <row r="761" customFormat="false" ht="15" hidden="false" customHeight="false" outlineLevel="0" collapsed="false">
      <c r="A761" s="12"/>
      <c r="B761" s="6"/>
      <c r="C761" s="13" t="str">
        <f aca="false">IF(B761="","",IFERROR(INDEX(สินค้า!$B$2:$B$101,MATCH(B761,สินค้า!$A$2:$A$101,0)),"ไม่พบรหัส"))</f>
        <v/>
      </c>
      <c r="D761" s="14" t="str">
        <f aca="false">IF(B761="","",IFERROR(INDEX(สินค้า!$D$2:$D$101,MATCH(B761,สินค้า!$A$2:$A$101,0)),""))</f>
        <v/>
      </c>
      <c r="E761" s="6"/>
      <c r="F761" s="8"/>
      <c r="G761" s="8"/>
      <c r="H761" s="8"/>
      <c r="I761" s="15"/>
      <c r="J761" s="15"/>
      <c r="K761" s="10" t="str">
        <f aca="false">IF(J761&lt;&gt;"",J761,IF(I761="","",I761*IFERROR(INDEX(สินค้า!$G$2:$G$101,MATCH(B761,สินค้า!$A$2:$A$101,0)),0)))</f>
        <v/>
      </c>
      <c r="L761" s="16" t="str">
        <f aca="false">IF(OR(F761="",F761=0,G761=""),"",G761/F761)</f>
        <v/>
      </c>
      <c r="M761" s="16" t="str">
        <f aca="false">IF(OR(G761="",G761=0,H761=""),"",H761/G761)</f>
        <v/>
      </c>
    </row>
    <row r="762" customFormat="false" ht="15" hidden="false" customHeight="false" outlineLevel="0" collapsed="false">
      <c r="A762" s="12"/>
      <c r="B762" s="6"/>
      <c r="C762" s="13" t="str">
        <f aca="false">IF(B762="","",IFERROR(INDEX(สินค้า!$B$2:$B$101,MATCH(B762,สินค้า!$A$2:$A$101,0)),"ไม่พบรหัส"))</f>
        <v/>
      </c>
      <c r="D762" s="14" t="str">
        <f aca="false">IF(B762="","",IFERROR(INDEX(สินค้า!$D$2:$D$101,MATCH(B762,สินค้า!$A$2:$A$101,0)),""))</f>
        <v/>
      </c>
      <c r="E762" s="6"/>
      <c r="F762" s="8"/>
      <c r="G762" s="8"/>
      <c r="H762" s="8"/>
      <c r="I762" s="15"/>
      <c r="J762" s="15"/>
      <c r="K762" s="10" t="str">
        <f aca="false">IF(J762&lt;&gt;"",J762,IF(I762="","",I762*IFERROR(INDEX(สินค้า!$G$2:$G$101,MATCH(B762,สินค้า!$A$2:$A$101,0)),0)))</f>
        <v/>
      </c>
      <c r="L762" s="16" t="str">
        <f aca="false">IF(OR(F762="",F762=0,G762=""),"",G762/F762)</f>
        <v/>
      </c>
      <c r="M762" s="16" t="str">
        <f aca="false">IF(OR(G762="",G762=0,H762=""),"",H762/G762)</f>
        <v/>
      </c>
    </row>
    <row r="763" customFormat="false" ht="15" hidden="false" customHeight="false" outlineLevel="0" collapsed="false">
      <c r="A763" s="12"/>
      <c r="B763" s="6"/>
      <c r="C763" s="13" t="str">
        <f aca="false">IF(B763="","",IFERROR(INDEX(สินค้า!$B$2:$B$101,MATCH(B763,สินค้า!$A$2:$A$101,0)),"ไม่พบรหัส"))</f>
        <v/>
      </c>
      <c r="D763" s="14" t="str">
        <f aca="false">IF(B763="","",IFERROR(INDEX(สินค้า!$D$2:$D$101,MATCH(B763,สินค้า!$A$2:$A$101,0)),""))</f>
        <v/>
      </c>
      <c r="E763" s="6"/>
      <c r="F763" s="8"/>
      <c r="G763" s="8"/>
      <c r="H763" s="8"/>
      <c r="I763" s="15"/>
      <c r="J763" s="15"/>
      <c r="K763" s="10" t="str">
        <f aca="false">IF(J763&lt;&gt;"",J763,IF(I763="","",I763*IFERROR(INDEX(สินค้า!$G$2:$G$101,MATCH(B763,สินค้า!$A$2:$A$101,0)),0)))</f>
        <v/>
      </c>
      <c r="L763" s="16" t="str">
        <f aca="false">IF(OR(F763="",F763=0,G763=""),"",G763/F763)</f>
        <v/>
      </c>
      <c r="M763" s="16" t="str">
        <f aca="false">IF(OR(G763="",G763=0,H763=""),"",H763/G763)</f>
        <v/>
      </c>
    </row>
    <row r="764" customFormat="false" ht="15" hidden="false" customHeight="false" outlineLevel="0" collapsed="false">
      <c r="A764" s="12"/>
      <c r="B764" s="6"/>
      <c r="C764" s="13" t="str">
        <f aca="false">IF(B764="","",IFERROR(INDEX(สินค้า!$B$2:$B$101,MATCH(B764,สินค้า!$A$2:$A$101,0)),"ไม่พบรหัส"))</f>
        <v/>
      </c>
      <c r="D764" s="14" t="str">
        <f aca="false">IF(B764="","",IFERROR(INDEX(สินค้า!$D$2:$D$101,MATCH(B764,สินค้า!$A$2:$A$101,0)),""))</f>
        <v/>
      </c>
      <c r="E764" s="6"/>
      <c r="F764" s="8"/>
      <c r="G764" s="8"/>
      <c r="H764" s="8"/>
      <c r="I764" s="15"/>
      <c r="J764" s="15"/>
      <c r="K764" s="10" t="str">
        <f aca="false">IF(J764&lt;&gt;"",J764,IF(I764="","",I764*IFERROR(INDEX(สินค้า!$G$2:$G$101,MATCH(B764,สินค้า!$A$2:$A$101,0)),0)))</f>
        <v/>
      </c>
      <c r="L764" s="16" t="str">
        <f aca="false">IF(OR(F764="",F764=0,G764=""),"",G764/F764)</f>
        <v/>
      </c>
      <c r="M764" s="16" t="str">
        <f aca="false">IF(OR(G764="",G764=0,H764=""),"",H764/G764)</f>
        <v/>
      </c>
    </row>
    <row r="765" customFormat="false" ht="15" hidden="false" customHeight="false" outlineLevel="0" collapsed="false">
      <c r="A765" s="12"/>
      <c r="B765" s="6"/>
      <c r="C765" s="13" t="str">
        <f aca="false">IF(B765="","",IFERROR(INDEX(สินค้า!$B$2:$B$101,MATCH(B765,สินค้า!$A$2:$A$101,0)),"ไม่พบรหัส"))</f>
        <v/>
      </c>
      <c r="D765" s="14" t="str">
        <f aca="false">IF(B765="","",IFERROR(INDEX(สินค้า!$D$2:$D$101,MATCH(B765,สินค้า!$A$2:$A$101,0)),""))</f>
        <v/>
      </c>
      <c r="E765" s="6"/>
      <c r="F765" s="8"/>
      <c r="G765" s="8"/>
      <c r="H765" s="8"/>
      <c r="I765" s="15"/>
      <c r="J765" s="15"/>
      <c r="K765" s="10" t="str">
        <f aca="false">IF(J765&lt;&gt;"",J765,IF(I765="","",I765*IFERROR(INDEX(สินค้า!$G$2:$G$101,MATCH(B765,สินค้า!$A$2:$A$101,0)),0)))</f>
        <v/>
      </c>
      <c r="L765" s="16" t="str">
        <f aca="false">IF(OR(F765="",F765=0,G765=""),"",G765/F765)</f>
        <v/>
      </c>
      <c r="M765" s="16" t="str">
        <f aca="false">IF(OR(G765="",G765=0,H765=""),"",H765/G765)</f>
        <v/>
      </c>
    </row>
    <row r="766" customFormat="false" ht="15" hidden="false" customHeight="false" outlineLevel="0" collapsed="false">
      <c r="A766" s="12"/>
      <c r="B766" s="6"/>
      <c r="C766" s="13" t="str">
        <f aca="false">IF(B766="","",IFERROR(INDEX(สินค้า!$B$2:$B$101,MATCH(B766,สินค้า!$A$2:$A$101,0)),"ไม่พบรหัส"))</f>
        <v/>
      </c>
      <c r="D766" s="14" t="str">
        <f aca="false">IF(B766="","",IFERROR(INDEX(สินค้า!$D$2:$D$101,MATCH(B766,สินค้า!$A$2:$A$101,0)),""))</f>
        <v/>
      </c>
      <c r="E766" s="6"/>
      <c r="F766" s="8"/>
      <c r="G766" s="8"/>
      <c r="H766" s="8"/>
      <c r="I766" s="15"/>
      <c r="J766" s="15"/>
      <c r="K766" s="10" t="str">
        <f aca="false">IF(J766&lt;&gt;"",J766,IF(I766="","",I766*IFERROR(INDEX(สินค้า!$G$2:$G$101,MATCH(B766,สินค้า!$A$2:$A$101,0)),0)))</f>
        <v/>
      </c>
      <c r="L766" s="16" t="str">
        <f aca="false">IF(OR(F766="",F766=0,G766=""),"",G766/F766)</f>
        <v/>
      </c>
      <c r="M766" s="16" t="str">
        <f aca="false">IF(OR(G766="",G766=0,H766=""),"",H766/G766)</f>
        <v/>
      </c>
    </row>
    <row r="767" customFormat="false" ht="15" hidden="false" customHeight="false" outlineLevel="0" collapsed="false">
      <c r="A767" s="12"/>
      <c r="B767" s="6"/>
      <c r="C767" s="13" t="str">
        <f aca="false">IF(B767="","",IFERROR(INDEX(สินค้า!$B$2:$B$101,MATCH(B767,สินค้า!$A$2:$A$101,0)),"ไม่พบรหัส"))</f>
        <v/>
      </c>
      <c r="D767" s="14" t="str">
        <f aca="false">IF(B767="","",IFERROR(INDEX(สินค้า!$D$2:$D$101,MATCH(B767,สินค้า!$A$2:$A$101,0)),""))</f>
        <v/>
      </c>
      <c r="E767" s="6"/>
      <c r="F767" s="8"/>
      <c r="G767" s="8"/>
      <c r="H767" s="8"/>
      <c r="I767" s="15"/>
      <c r="J767" s="15"/>
      <c r="K767" s="10" t="str">
        <f aca="false">IF(J767&lt;&gt;"",J767,IF(I767="","",I767*IFERROR(INDEX(สินค้า!$G$2:$G$101,MATCH(B767,สินค้า!$A$2:$A$101,0)),0)))</f>
        <v/>
      </c>
      <c r="L767" s="16" t="str">
        <f aca="false">IF(OR(F767="",F767=0,G767=""),"",G767/F767)</f>
        <v/>
      </c>
      <c r="M767" s="16" t="str">
        <f aca="false">IF(OR(G767="",G767=0,H767=""),"",H767/G767)</f>
        <v/>
      </c>
    </row>
    <row r="768" customFormat="false" ht="15" hidden="false" customHeight="false" outlineLevel="0" collapsed="false">
      <c r="A768" s="12"/>
      <c r="B768" s="6"/>
      <c r="C768" s="13" t="str">
        <f aca="false">IF(B768="","",IFERROR(INDEX(สินค้า!$B$2:$B$101,MATCH(B768,สินค้า!$A$2:$A$101,0)),"ไม่พบรหัส"))</f>
        <v/>
      </c>
      <c r="D768" s="14" t="str">
        <f aca="false">IF(B768="","",IFERROR(INDEX(สินค้า!$D$2:$D$101,MATCH(B768,สินค้า!$A$2:$A$101,0)),""))</f>
        <v/>
      </c>
      <c r="E768" s="6"/>
      <c r="F768" s="8"/>
      <c r="G768" s="8"/>
      <c r="H768" s="8"/>
      <c r="I768" s="15"/>
      <c r="J768" s="15"/>
      <c r="K768" s="10" t="str">
        <f aca="false">IF(J768&lt;&gt;"",J768,IF(I768="","",I768*IFERROR(INDEX(สินค้า!$G$2:$G$101,MATCH(B768,สินค้า!$A$2:$A$101,0)),0)))</f>
        <v/>
      </c>
      <c r="L768" s="16" t="str">
        <f aca="false">IF(OR(F768="",F768=0,G768=""),"",G768/F768)</f>
        <v/>
      </c>
      <c r="M768" s="16" t="str">
        <f aca="false">IF(OR(G768="",G768=0,H768=""),"",H768/G768)</f>
        <v/>
      </c>
    </row>
    <row r="769" customFormat="false" ht="15" hidden="false" customHeight="false" outlineLevel="0" collapsed="false">
      <c r="A769" s="12"/>
      <c r="B769" s="6"/>
      <c r="C769" s="13" t="str">
        <f aca="false">IF(B769="","",IFERROR(INDEX(สินค้า!$B$2:$B$101,MATCH(B769,สินค้า!$A$2:$A$101,0)),"ไม่พบรหัส"))</f>
        <v/>
      </c>
      <c r="D769" s="14" t="str">
        <f aca="false">IF(B769="","",IFERROR(INDEX(สินค้า!$D$2:$D$101,MATCH(B769,สินค้า!$A$2:$A$101,0)),""))</f>
        <v/>
      </c>
      <c r="E769" s="6"/>
      <c r="F769" s="8"/>
      <c r="G769" s="8"/>
      <c r="H769" s="8"/>
      <c r="I769" s="15"/>
      <c r="J769" s="15"/>
      <c r="K769" s="10" t="str">
        <f aca="false">IF(J769&lt;&gt;"",J769,IF(I769="","",I769*IFERROR(INDEX(สินค้า!$G$2:$G$101,MATCH(B769,สินค้า!$A$2:$A$101,0)),0)))</f>
        <v/>
      </c>
      <c r="L769" s="16" t="str">
        <f aca="false">IF(OR(F769="",F769=0,G769=""),"",G769/F769)</f>
        <v/>
      </c>
      <c r="M769" s="16" t="str">
        <f aca="false">IF(OR(G769="",G769=0,H769=""),"",H769/G769)</f>
        <v/>
      </c>
    </row>
    <row r="770" customFormat="false" ht="15" hidden="false" customHeight="false" outlineLevel="0" collapsed="false">
      <c r="A770" s="12"/>
      <c r="B770" s="6"/>
      <c r="C770" s="13" t="str">
        <f aca="false">IF(B770="","",IFERROR(INDEX(สินค้า!$B$2:$B$101,MATCH(B770,สินค้า!$A$2:$A$101,0)),"ไม่พบรหัส"))</f>
        <v/>
      </c>
      <c r="D770" s="14" t="str">
        <f aca="false">IF(B770="","",IFERROR(INDEX(สินค้า!$D$2:$D$101,MATCH(B770,สินค้า!$A$2:$A$101,0)),""))</f>
        <v/>
      </c>
      <c r="E770" s="6"/>
      <c r="F770" s="8"/>
      <c r="G770" s="8"/>
      <c r="H770" s="8"/>
      <c r="I770" s="15"/>
      <c r="J770" s="15"/>
      <c r="K770" s="10" t="str">
        <f aca="false">IF(J770&lt;&gt;"",J770,IF(I770="","",I770*IFERROR(INDEX(สินค้า!$G$2:$G$101,MATCH(B770,สินค้า!$A$2:$A$101,0)),0)))</f>
        <v/>
      </c>
      <c r="L770" s="16" t="str">
        <f aca="false">IF(OR(F770="",F770=0,G770=""),"",G770/F770)</f>
        <v/>
      </c>
      <c r="M770" s="16" t="str">
        <f aca="false">IF(OR(G770="",G770=0,H770=""),"",H770/G770)</f>
        <v/>
      </c>
    </row>
    <row r="771" customFormat="false" ht="15" hidden="false" customHeight="false" outlineLevel="0" collapsed="false">
      <c r="A771" s="12"/>
      <c r="B771" s="6"/>
      <c r="C771" s="13" t="str">
        <f aca="false">IF(B771="","",IFERROR(INDEX(สินค้า!$B$2:$B$101,MATCH(B771,สินค้า!$A$2:$A$101,0)),"ไม่พบรหัส"))</f>
        <v/>
      </c>
      <c r="D771" s="14" t="str">
        <f aca="false">IF(B771="","",IFERROR(INDEX(สินค้า!$D$2:$D$101,MATCH(B771,สินค้า!$A$2:$A$101,0)),""))</f>
        <v/>
      </c>
      <c r="E771" s="6"/>
      <c r="F771" s="8"/>
      <c r="G771" s="8"/>
      <c r="H771" s="8"/>
      <c r="I771" s="15"/>
      <c r="J771" s="15"/>
      <c r="K771" s="10" t="str">
        <f aca="false">IF(J771&lt;&gt;"",J771,IF(I771="","",I771*IFERROR(INDEX(สินค้า!$G$2:$G$101,MATCH(B771,สินค้า!$A$2:$A$101,0)),0)))</f>
        <v/>
      </c>
      <c r="L771" s="16" t="str">
        <f aca="false">IF(OR(F771="",F771=0,G771=""),"",G771/F771)</f>
        <v/>
      </c>
      <c r="M771" s="16" t="str">
        <f aca="false">IF(OR(G771="",G771=0,H771=""),"",H771/G771)</f>
        <v/>
      </c>
    </row>
    <row r="772" customFormat="false" ht="15" hidden="false" customHeight="false" outlineLevel="0" collapsed="false">
      <c r="A772" s="12"/>
      <c r="B772" s="6"/>
      <c r="C772" s="13" t="str">
        <f aca="false">IF(B772="","",IFERROR(INDEX(สินค้า!$B$2:$B$101,MATCH(B772,สินค้า!$A$2:$A$101,0)),"ไม่พบรหัส"))</f>
        <v/>
      </c>
      <c r="D772" s="14" t="str">
        <f aca="false">IF(B772="","",IFERROR(INDEX(สินค้า!$D$2:$D$101,MATCH(B772,สินค้า!$A$2:$A$101,0)),""))</f>
        <v/>
      </c>
      <c r="E772" s="6"/>
      <c r="F772" s="8"/>
      <c r="G772" s="8"/>
      <c r="H772" s="8"/>
      <c r="I772" s="15"/>
      <c r="J772" s="15"/>
      <c r="K772" s="10" t="str">
        <f aca="false">IF(J772&lt;&gt;"",J772,IF(I772="","",I772*IFERROR(INDEX(สินค้า!$G$2:$G$101,MATCH(B772,สินค้า!$A$2:$A$101,0)),0)))</f>
        <v/>
      </c>
      <c r="L772" s="16" t="str">
        <f aca="false">IF(OR(F772="",F772=0,G772=""),"",G772/F772)</f>
        <v/>
      </c>
      <c r="M772" s="16" t="str">
        <f aca="false">IF(OR(G772="",G772=0,H772=""),"",H772/G772)</f>
        <v/>
      </c>
    </row>
    <row r="773" customFormat="false" ht="15" hidden="false" customHeight="false" outlineLevel="0" collapsed="false">
      <c r="A773" s="12"/>
      <c r="B773" s="6"/>
      <c r="C773" s="13" t="str">
        <f aca="false">IF(B773="","",IFERROR(INDEX(สินค้า!$B$2:$B$101,MATCH(B773,สินค้า!$A$2:$A$101,0)),"ไม่พบรหัส"))</f>
        <v/>
      </c>
      <c r="D773" s="14" t="str">
        <f aca="false">IF(B773="","",IFERROR(INDEX(สินค้า!$D$2:$D$101,MATCH(B773,สินค้า!$A$2:$A$101,0)),""))</f>
        <v/>
      </c>
      <c r="E773" s="6"/>
      <c r="F773" s="8"/>
      <c r="G773" s="8"/>
      <c r="H773" s="8"/>
      <c r="I773" s="15"/>
      <c r="J773" s="15"/>
      <c r="K773" s="10" t="str">
        <f aca="false">IF(J773&lt;&gt;"",J773,IF(I773="","",I773*IFERROR(INDEX(สินค้า!$G$2:$G$101,MATCH(B773,สินค้า!$A$2:$A$101,0)),0)))</f>
        <v/>
      </c>
      <c r="L773" s="16" t="str">
        <f aca="false">IF(OR(F773="",F773=0,G773=""),"",G773/F773)</f>
        <v/>
      </c>
      <c r="M773" s="16" t="str">
        <f aca="false">IF(OR(G773="",G773=0,H773=""),"",H773/G773)</f>
        <v/>
      </c>
    </row>
    <row r="774" customFormat="false" ht="15" hidden="false" customHeight="false" outlineLevel="0" collapsed="false">
      <c r="A774" s="12"/>
      <c r="B774" s="6"/>
      <c r="C774" s="13" t="str">
        <f aca="false">IF(B774="","",IFERROR(INDEX(สินค้า!$B$2:$B$101,MATCH(B774,สินค้า!$A$2:$A$101,0)),"ไม่พบรหัส"))</f>
        <v/>
      </c>
      <c r="D774" s="14" t="str">
        <f aca="false">IF(B774="","",IFERROR(INDEX(สินค้า!$D$2:$D$101,MATCH(B774,สินค้า!$A$2:$A$101,0)),""))</f>
        <v/>
      </c>
      <c r="E774" s="6"/>
      <c r="F774" s="8"/>
      <c r="G774" s="8"/>
      <c r="H774" s="8"/>
      <c r="I774" s="15"/>
      <c r="J774" s="15"/>
      <c r="K774" s="10" t="str">
        <f aca="false">IF(J774&lt;&gt;"",J774,IF(I774="","",I774*IFERROR(INDEX(สินค้า!$G$2:$G$101,MATCH(B774,สินค้า!$A$2:$A$101,0)),0)))</f>
        <v/>
      </c>
      <c r="L774" s="16" t="str">
        <f aca="false">IF(OR(F774="",F774=0,G774=""),"",G774/F774)</f>
        <v/>
      </c>
      <c r="M774" s="16" t="str">
        <f aca="false">IF(OR(G774="",G774=0,H774=""),"",H774/G774)</f>
        <v/>
      </c>
    </row>
    <row r="775" customFormat="false" ht="15" hidden="false" customHeight="false" outlineLevel="0" collapsed="false">
      <c r="A775" s="12"/>
      <c r="B775" s="6"/>
      <c r="C775" s="13" t="str">
        <f aca="false">IF(B775="","",IFERROR(INDEX(สินค้า!$B$2:$B$101,MATCH(B775,สินค้า!$A$2:$A$101,0)),"ไม่พบรหัส"))</f>
        <v/>
      </c>
      <c r="D775" s="14" t="str">
        <f aca="false">IF(B775="","",IFERROR(INDEX(สินค้า!$D$2:$D$101,MATCH(B775,สินค้า!$A$2:$A$101,0)),""))</f>
        <v/>
      </c>
      <c r="E775" s="6"/>
      <c r="F775" s="8"/>
      <c r="G775" s="8"/>
      <c r="H775" s="8"/>
      <c r="I775" s="15"/>
      <c r="J775" s="15"/>
      <c r="K775" s="10" t="str">
        <f aca="false">IF(J775&lt;&gt;"",J775,IF(I775="","",I775*IFERROR(INDEX(สินค้า!$G$2:$G$101,MATCH(B775,สินค้า!$A$2:$A$101,0)),0)))</f>
        <v/>
      </c>
      <c r="L775" s="16" t="str">
        <f aca="false">IF(OR(F775="",F775=0,G775=""),"",G775/F775)</f>
        <v/>
      </c>
      <c r="M775" s="16" t="str">
        <f aca="false">IF(OR(G775="",G775=0,H775=""),"",H775/G775)</f>
        <v/>
      </c>
    </row>
    <row r="776" customFormat="false" ht="15" hidden="false" customHeight="false" outlineLevel="0" collapsed="false">
      <c r="A776" s="12"/>
      <c r="B776" s="6"/>
      <c r="C776" s="13" t="str">
        <f aca="false">IF(B776="","",IFERROR(INDEX(สินค้า!$B$2:$B$101,MATCH(B776,สินค้า!$A$2:$A$101,0)),"ไม่พบรหัส"))</f>
        <v/>
      </c>
      <c r="D776" s="14" t="str">
        <f aca="false">IF(B776="","",IFERROR(INDEX(สินค้า!$D$2:$D$101,MATCH(B776,สินค้า!$A$2:$A$101,0)),""))</f>
        <v/>
      </c>
      <c r="E776" s="6"/>
      <c r="F776" s="8"/>
      <c r="G776" s="8"/>
      <c r="H776" s="8"/>
      <c r="I776" s="15"/>
      <c r="J776" s="15"/>
      <c r="K776" s="10" t="str">
        <f aca="false">IF(J776&lt;&gt;"",J776,IF(I776="","",I776*IFERROR(INDEX(สินค้า!$G$2:$G$101,MATCH(B776,สินค้า!$A$2:$A$101,0)),0)))</f>
        <v/>
      </c>
      <c r="L776" s="16" t="str">
        <f aca="false">IF(OR(F776="",F776=0,G776=""),"",G776/F776)</f>
        <v/>
      </c>
      <c r="M776" s="16" t="str">
        <f aca="false">IF(OR(G776="",G776=0,H776=""),"",H776/G776)</f>
        <v/>
      </c>
    </row>
    <row r="777" customFormat="false" ht="15" hidden="false" customHeight="false" outlineLevel="0" collapsed="false">
      <c r="A777" s="12"/>
      <c r="B777" s="6"/>
      <c r="C777" s="13" t="str">
        <f aca="false">IF(B777="","",IFERROR(INDEX(สินค้า!$B$2:$B$101,MATCH(B777,สินค้า!$A$2:$A$101,0)),"ไม่พบรหัส"))</f>
        <v/>
      </c>
      <c r="D777" s="14" t="str">
        <f aca="false">IF(B777="","",IFERROR(INDEX(สินค้า!$D$2:$D$101,MATCH(B777,สินค้า!$A$2:$A$101,0)),""))</f>
        <v/>
      </c>
      <c r="E777" s="6"/>
      <c r="F777" s="8"/>
      <c r="G777" s="8"/>
      <c r="H777" s="8"/>
      <c r="I777" s="15"/>
      <c r="J777" s="15"/>
      <c r="K777" s="10" t="str">
        <f aca="false">IF(J777&lt;&gt;"",J777,IF(I777="","",I777*IFERROR(INDEX(สินค้า!$G$2:$G$101,MATCH(B777,สินค้า!$A$2:$A$101,0)),0)))</f>
        <v/>
      </c>
      <c r="L777" s="16" t="str">
        <f aca="false">IF(OR(F777="",F777=0,G777=""),"",G777/F777)</f>
        <v/>
      </c>
      <c r="M777" s="16" t="str">
        <f aca="false">IF(OR(G777="",G777=0,H777=""),"",H777/G777)</f>
        <v/>
      </c>
    </row>
    <row r="778" customFormat="false" ht="15" hidden="false" customHeight="false" outlineLevel="0" collapsed="false">
      <c r="A778" s="12"/>
      <c r="B778" s="6"/>
      <c r="C778" s="13" t="str">
        <f aca="false">IF(B778="","",IFERROR(INDEX(สินค้า!$B$2:$B$101,MATCH(B778,สินค้า!$A$2:$A$101,0)),"ไม่พบรหัส"))</f>
        <v/>
      </c>
      <c r="D778" s="14" t="str">
        <f aca="false">IF(B778="","",IFERROR(INDEX(สินค้า!$D$2:$D$101,MATCH(B778,สินค้า!$A$2:$A$101,0)),""))</f>
        <v/>
      </c>
      <c r="E778" s="6"/>
      <c r="F778" s="8"/>
      <c r="G778" s="8"/>
      <c r="H778" s="8"/>
      <c r="I778" s="15"/>
      <c r="J778" s="15"/>
      <c r="K778" s="10" t="str">
        <f aca="false">IF(J778&lt;&gt;"",J778,IF(I778="","",I778*IFERROR(INDEX(สินค้า!$G$2:$G$101,MATCH(B778,สินค้า!$A$2:$A$101,0)),0)))</f>
        <v/>
      </c>
      <c r="L778" s="16" t="str">
        <f aca="false">IF(OR(F778="",F778=0,G778=""),"",G778/F778)</f>
        <v/>
      </c>
      <c r="M778" s="16" t="str">
        <f aca="false">IF(OR(G778="",G778=0,H778=""),"",H778/G778)</f>
        <v/>
      </c>
    </row>
    <row r="779" customFormat="false" ht="15" hidden="false" customHeight="false" outlineLevel="0" collapsed="false">
      <c r="A779" s="12"/>
      <c r="B779" s="6"/>
      <c r="C779" s="13" t="str">
        <f aca="false">IF(B779="","",IFERROR(INDEX(สินค้า!$B$2:$B$101,MATCH(B779,สินค้า!$A$2:$A$101,0)),"ไม่พบรหัส"))</f>
        <v/>
      </c>
      <c r="D779" s="14" t="str">
        <f aca="false">IF(B779="","",IFERROR(INDEX(สินค้า!$D$2:$D$101,MATCH(B779,สินค้า!$A$2:$A$101,0)),""))</f>
        <v/>
      </c>
      <c r="E779" s="6"/>
      <c r="F779" s="8"/>
      <c r="G779" s="8"/>
      <c r="H779" s="8"/>
      <c r="I779" s="15"/>
      <c r="J779" s="15"/>
      <c r="K779" s="10" t="str">
        <f aca="false">IF(J779&lt;&gt;"",J779,IF(I779="","",I779*IFERROR(INDEX(สินค้า!$G$2:$G$101,MATCH(B779,สินค้า!$A$2:$A$101,0)),0)))</f>
        <v/>
      </c>
      <c r="L779" s="16" t="str">
        <f aca="false">IF(OR(F779="",F779=0,G779=""),"",G779/F779)</f>
        <v/>
      </c>
      <c r="M779" s="16" t="str">
        <f aca="false">IF(OR(G779="",G779=0,H779=""),"",H779/G779)</f>
        <v/>
      </c>
    </row>
    <row r="780" customFormat="false" ht="15" hidden="false" customHeight="false" outlineLevel="0" collapsed="false">
      <c r="A780" s="12"/>
      <c r="B780" s="6"/>
      <c r="C780" s="13" t="str">
        <f aca="false">IF(B780="","",IFERROR(INDEX(สินค้า!$B$2:$B$101,MATCH(B780,สินค้า!$A$2:$A$101,0)),"ไม่พบรหัส"))</f>
        <v/>
      </c>
      <c r="D780" s="14" t="str">
        <f aca="false">IF(B780="","",IFERROR(INDEX(สินค้า!$D$2:$D$101,MATCH(B780,สินค้า!$A$2:$A$101,0)),""))</f>
        <v/>
      </c>
      <c r="E780" s="6"/>
      <c r="F780" s="8"/>
      <c r="G780" s="8"/>
      <c r="H780" s="8"/>
      <c r="I780" s="15"/>
      <c r="J780" s="15"/>
      <c r="K780" s="10" t="str">
        <f aca="false">IF(J780&lt;&gt;"",J780,IF(I780="","",I780*IFERROR(INDEX(สินค้า!$G$2:$G$101,MATCH(B780,สินค้า!$A$2:$A$101,0)),0)))</f>
        <v/>
      </c>
      <c r="L780" s="16" t="str">
        <f aca="false">IF(OR(F780="",F780=0,G780=""),"",G780/F780)</f>
        <v/>
      </c>
      <c r="M780" s="16" t="str">
        <f aca="false">IF(OR(G780="",G780=0,H780=""),"",H780/G780)</f>
        <v/>
      </c>
    </row>
    <row r="781" customFormat="false" ht="15" hidden="false" customHeight="false" outlineLevel="0" collapsed="false">
      <c r="A781" s="12"/>
      <c r="B781" s="6"/>
      <c r="C781" s="13" t="str">
        <f aca="false">IF(B781="","",IFERROR(INDEX(สินค้า!$B$2:$B$101,MATCH(B781,สินค้า!$A$2:$A$101,0)),"ไม่พบรหัส"))</f>
        <v/>
      </c>
      <c r="D781" s="14" t="str">
        <f aca="false">IF(B781="","",IFERROR(INDEX(สินค้า!$D$2:$D$101,MATCH(B781,สินค้า!$A$2:$A$101,0)),""))</f>
        <v/>
      </c>
      <c r="E781" s="6"/>
      <c r="F781" s="8"/>
      <c r="G781" s="8"/>
      <c r="H781" s="8"/>
      <c r="I781" s="15"/>
      <c r="J781" s="15"/>
      <c r="K781" s="10" t="str">
        <f aca="false">IF(J781&lt;&gt;"",J781,IF(I781="","",I781*IFERROR(INDEX(สินค้า!$G$2:$G$101,MATCH(B781,สินค้า!$A$2:$A$101,0)),0)))</f>
        <v/>
      </c>
      <c r="L781" s="16" t="str">
        <f aca="false">IF(OR(F781="",F781=0,G781=""),"",G781/F781)</f>
        <v/>
      </c>
      <c r="M781" s="16" t="str">
        <f aca="false">IF(OR(G781="",G781=0,H781=""),"",H781/G781)</f>
        <v/>
      </c>
    </row>
    <row r="782" customFormat="false" ht="15" hidden="false" customHeight="false" outlineLevel="0" collapsed="false">
      <c r="A782" s="12"/>
      <c r="B782" s="6"/>
      <c r="C782" s="13" t="str">
        <f aca="false">IF(B782="","",IFERROR(INDEX(สินค้า!$B$2:$B$101,MATCH(B782,สินค้า!$A$2:$A$101,0)),"ไม่พบรหัส"))</f>
        <v/>
      </c>
      <c r="D782" s="14" t="str">
        <f aca="false">IF(B782="","",IFERROR(INDEX(สินค้า!$D$2:$D$101,MATCH(B782,สินค้า!$A$2:$A$101,0)),""))</f>
        <v/>
      </c>
      <c r="E782" s="6"/>
      <c r="F782" s="8"/>
      <c r="G782" s="8"/>
      <c r="H782" s="8"/>
      <c r="I782" s="15"/>
      <c r="J782" s="15"/>
      <c r="K782" s="10" t="str">
        <f aca="false">IF(J782&lt;&gt;"",J782,IF(I782="","",I782*IFERROR(INDEX(สินค้า!$G$2:$G$101,MATCH(B782,สินค้า!$A$2:$A$101,0)),0)))</f>
        <v/>
      </c>
      <c r="L782" s="16" t="str">
        <f aca="false">IF(OR(F782="",F782=0,G782=""),"",G782/F782)</f>
        <v/>
      </c>
      <c r="M782" s="16" t="str">
        <f aca="false">IF(OR(G782="",G782=0,H782=""),"",H782/G782)</f>
        <v/>
      </c>
    </row>
    <row r="783" customFormat="false" ht="15" hidden="false" customHeight="false" outlineLevel="0" collapsed="false">
      <c r="A783" s="12"/>
      <c r="B783" s="6"/>
      <c r="C783" s="13" t="str">
        <f aca="false">IF(B783="","",IFERROR(INDEX(สินค้า!$B$2:$B$101,MATCH(B783,สินค้า!$A$2:$A$101,0)),"ไม่พบรหัส"))</f>
        <v/>
      </c>
      <c r="D783" s="14" t="str">
        <f aca="false">IF(B783="","",IFERROR(INDEX(สินค้า!$D$2:$D$101,MATCH(B783,สินค้า!$A$2:$A$101,0)),""))</f>
        <v/>
      </c>
      <c r="E783" s="6"/>
      <c r="F783" s="8"/>
      <c r="G783" s="8"/>
      <c r="H783" s="8"/>
      <c r="I783" s="15"/>
      <c r="J783" s="15"/>
      <c r="K783" s="10" t="str">
        <f aca="false">IF(J783&lt;&gt;"",J783,IF(I783="","",I783*IFERROR(INDEX(สินค้า!$G$2:$G$101,MATCH(B783,สินค้า!$A$2:$A$101,0)),0)))</f>
        <v/>
      </c>
      <c r="L783" s="16" t="str">
        <f aca="false">IF(OR(F783="",F783=0,G783=""),"",G783/F783)</f>
        <v/>
      </c>
      <c r="M783" s="16" t="str">
        <f aca="false">IF(OR(G783="",G783=0,H783=""),"",H783/G783)</f>
        <v/>
      </c>
    </row>
    <row r="784" customFormat="false" ht="15" hidden="false" customHeight="false" outlineLevel="0" collapsed="false">
      <c r="A784" s="12"/>
      <c r="B784" s="6"/>
      <c r="C784" s="13" t="str">
        <f aca="false">IF(B784="","",IFERROR(INDEX(สินค้า!$B$2:$B$101,MATCH(B784,สินค้า!$A$2:$A$101,0)),"ไม่พบรหัส"))</f>
        <v/>
      </c>
      <c r="D784" s="14" t="str">
        <f aca="false">IF(B784="","",IFERROR(INDEX(สินค้า!$D$2:$D$101,MATCH(B784,สินค้า!$A$2:$A$101,0)),""))</f>
        <v/>
      </c>
      <c r="E784" s="6"/>
      <c r="F784" s="8"/>
      <c r="G784" s="8"/>
      <c r="H784" s="8"/>
      <c r="I784" s="15"/>
      <c r="J784" s="15"/>
      <c r="K784" s="10" t="str">
        <f aca="false">IF(J784&lt;&gt;"",J784,IF(I784="","",I784*IFERROR(INDEX(สินค้า!$G$2:$G$101,MATCH(B784,สินค้า!$A$2:$A$101,0)),0)))</f>
        <v/>
      </c>
      <c r="L784" s="16" t="str">
        <f aca="false">IF(OR(F784="",F784=0,G784=""),"",G784/F784)</f>
        <v/>
      </c>
      <c r="M784" s="16" t="str">
        <f aca="false">IF(OR(G784="",G784=0,H784=""),"",H784/G784)</f>
        <v/>
      </c>
    </row>
    <row r="785" customFormat="false" ht="15" hidden="false" customHeight="false" outlineLevel="0" collapsed="false">
      <c r="A785" s="12"/>
      <c r="B785" s="6"/>
      <c r="C785" s="13" t="str">
        <f aca="false">IF(B785="","",IFERROR(INDEX(สินค้า!$B$2:$B$101,MATCH(B785,สินค้า!$A$2:$A$101,0)),"ไม่พบรหัส"))</f>
        <v/>
      </c>
      <c r="D785" s="14" t="str">
        <f aca="false">IF(B785="","",IFERROR(INDEX(สินค้า!$D$2:$D$101,MATCH(B785,สินค้า!$A$2:$A$101,0)),""))</f>
        <v/>
      </c>
      <c r="E785" s="6"/>
      <c r="F785" s="8"/>
      <c r="G785" s="8"/>
      <c r="H785" s="8"/>
      <c r="I785" s="15"/>
      <c r="J785" s="15"/>
      <c r="K785" s="10" t="str">
        <f aca="false">IF(J785&lt;&gt;"",J785,IF(I785="","",I785*IFERROR(INDEX(สินค้า!$G$2:$G$101,MATCH(B785,สินค้า!$A$2:$A$101,0)),0)))</f>
        <v/>
      </c>
      <c r="L785" s="16" t="str">
        <f aca="false">IF(OR(F785="",F785=0,G785=""),"",G785/F785)</f>
        <v/>
      </c>
      <c r="M785" s="16" t="str">
        <f aca="false">IF(OR(G785="",G785=0,H785=""),"",H785/G785)</f>
        <v/>
      </c>
    </row>
    <row r="786" customFormat="false" ht="15" hidden="false" customHeight="false" outlineLevel="0" collapsed="false">
      <c r="A786" s="12"/>
      <c r="B786" s="6"/>
      <c r="C786" s="13" t="str">
        <f aca="false">IF(B786="","",IFERROR(INDEX(สินค้า!$B$2:$B$101,MATCH(B786,สินค้า!$A$2:$A$101,0)),"ไม่พบรหัส"))</f>
        <v/>
      </c>
      <c r="D786" s="14" t="str">
        <f aca="false">IF(B786="","",IFERROR(INDEX(สินค้า!$D$2:$D$101,MATCH(B786,สินค้า!$A$2:$A$101,0)),""))</f>
        <v/>
      </c>
      <c r="E786" s="6"/>
      <c r="F786" s="8"/>
      <c r="G786" s="8"/>
      <c r="H786" s="8"/>
      <c r="I786" s="15"/>
      <c r="J786" s="15"/>
      <c r="K786" s="10" t="str">
        <f aca="false">IF(J786&lt;&gt;"",J786,IF(I786="","",I786*IFERROR(INDEX(สินค้า!$G$2:$G$101,MATCH(B786,สินค้า!$A$2:$A$101,0)),0)))</f>
        <v/>
      </c>
      <c r="L786" s="16" t="str">
        <f aca="false">IF(OR(F786="",F786=0,G786=""),"",G786/F786)</f>
        <v/>
      </c>
      <c r="M786" s="16" t="str">
        <f aca="false">IF(OR(G786="",G786=0,H786=""),"",H786/G786)</f>
        <v/>
      </c>
    </row>
    <row r="787" customFormat="false" ht="15" hidden="false" customHeight="false" outlineLevel="0" collapsed="false">
      <c r="A787" s="12"/>
      <c r="B787" s="6"/>
      <c r="C787" s="13" t="str">
        <f aca="false">IF(B787="","",IFERROR(INDEX(สินค้า!$B$2:$B$101,MATCH(B787,สินค้า!$A$2:$A$101,0)),"ไม่พบรหัส"))</f>
        <v/>
      </c>
      <c r="D787" s="14" t="str">
        <f aca="false">IF(B787="","",IFERROR(INDEX(สินค้า!$D$2:$D$101,MATCH(B787,สินค้า!$A$2:$A$101,0)),""))</f>
        <v/>
      </c>
      <c r="E787" s="6"/>
      <c r="F787" s="8"/>
      <c r="G787" s="8"/>
      <c r="H787" s="8"/>
      <c r="I787" s="15"/>
      <c r="J787" s="15"/>
      <c r="K787" s="10" t="str">
        <f aca="false">IF(J787&lt;&gt;"",J787,IF(I787="","",I787*IFERROR(INDEX(สินค้า!$G$2:$G$101,MATCH(B787,สินค้า!$A$2:$A$101,0)),0)))</f>
        <v/>
      </c>
      <c r="L787" s="16" t="str">
        <f aca="false">IF(OR(F787="",F787=0,G787=""),"",G787/F787)</f>
        <v/>
      </c>
      <c r="M787" s="16" t="str">
        <f aca="false">IF(OR(G787="",G787=0,H787=""),"",H787/G787)</f>
        <v/>
      </c>
    </row>
    <row r="788" customFormat="false" ht="15" hidden="false" customHeight="false" outlineLevel="0" collapsed="false">
      <c r="A788" s="12"/>
      <c r="B788" s="6"/>
      <c r="C788" s="13" t="str">
        <f aca="false">IF(B788="","",IFERROR(INDEX(สินค้า!$B$2:$B$101,MATCH(B788,สินค้า!$A$2:$A$101,0)),"ไม่พบรหัส"))</f>
        <v/>
      </c>
      <c r="D788" s="14" t="str">
        <f aca="false">IF(B788="","",IFERROR(INDEX(สินค้า!$D$2:$D$101,MATCH(B788,สินค้า!$A$2:$A$101,0)),""))</f>
        <v/>
      </c>
      <c r="E788" s="6"/>
      <c r="F788" s="8"/>
      <c r="G788" s="8"/>
      <c r="H788" s="8"/>
      <c r="I788" s="15"/>
      <c r="J788" s="15"/>
      <c r="K788" s="10" t="str">
        <f aca="false">IF(J788&lt;&gt;"",J788,IF(I788="","",I788*IFERROR(INDEX(สินค้า!$G$2:$G$101,MATCH(B788,สินค้า!$A$2:$A$101,0)),0)))</f>
        <v/>
      </c>
      <c r="L788" s="16" t="str">
        <f aca="false">IF(OR(F788="",F788=0,G788=""),"",G788/F788)</f>
        <v/>
      </c>
      <c r="M788" s="16" t="str">
        <f aca="false">IF(OR(G788="",G788=0,H788=""),"",H788/G788)</f>
        <v/>
      </c>
    </row>
    <row r="789" customFormat="false" ht="15" hidden="false" customHeight="false" outlineLevel="0" collapsed="false">
      <c r="A789" s="12"/>
      <c r="B789" s="6"/>
      <c r="C789" s="13" t="str">
        <f aca="false">IF(B789="","",IFERROR(INDEX(สินค้า!$B$2:$B$101,MATCH(B789,สินค้า!$A$2:$A$101,0)),"ไม่พบรหัส"))</f>
        <v/>
      </c>
      <c r="D789" s="14" t="str">
        <f aca="false">IF(B789="","",IFERROR(INDEX(สินค้า!$D$2:$D$101,MATCH(B789,สินค้า!$A$2:$A$101,0)),""))</f>
        <v/>
      </c>
      <c r="E789" s="6"/>
      <c r="F789" s="8"/>
      <c r="G789" s="8"/>
      <c r="H789" s="8"/>
      <c r="I789" s="15"/>
      <c r="J789" s="15"/>
      <c r="K789" s="10" t="str">
        <f aca="false">IF(J789&lt;&gt;"",J789,IF(I789="","",I789*IFERROR(INDEX(สินค้า!$G$2:$G$101,MATCH(B789,สินค้า!$A$2:$A$101,0)),0)))</f>
        <v/>
      </c>
      <c r="L789" s="16" t="str">
        <f aca="false">IF(OR(F789="",F789=0,G789=""),"",G789/F789)</f>
        <v/>
      </c>
      <c r="M789" s="16" t="str">
        <f aca="false">IF(OR(G789="",G789=0,H789=""),"",H789/G789)</f>
        <v/>
      </c>
    </row>
    <row r="790" customFormat="false" ht="15" hidden="false" customHeight="false" outlineLevel="0" collapsed="false">
      <c r="A790" s="12"/>
      <c r="B790" s="6"/>
      <c r="C790" s="13" t="str">
        <f aca="false">IF(B790="","",IFERROR(INDEX(สินค้า!$B$2:$B$101,MATCH(B790,สินค้า!$A$2:$A$101,0)),"ไม่พบรหัส"))</f>
        <v/>
      </c>
      <c r="D790" s="14" t="str">
        <f aca="false">IF(B790="","",IFERROR(INDEX(สินค้า!$D$2:$D$101,MATCH(B790,สินค้า!$A$2:$A$101,0)),""))</f>
        <v/>
      </c>
      <c r="E790" s="6"/>
      <c r="F790" s="8"/>
      <c r="G790" s="8"/>
      <c r="H790" s="8"/>
      <c r="I790" s="15"/>
      <c r="J790" s="15"/>
      <c r="K790" s="10" t="str">
        <f aca="false">IF(J790&lt;&gt;"",J790,IF(I790="","",I790*IFERROR(INDEX(สินค้า!$G$2:$G$101,MATCH(B790,สินค้า!$A$2:$A$101,0)),0)))</f>
        <v/>
      </c>
      <c r="L790" s="16" t="str">
        <f aca="false">IF(OR(F790="",F790=0,G790=""),"",G790/F790)</f>
        <v/>
      </c>
      <c r="M790" s="16" t="str">
        <f aca="false">IF(OR(G790="",G790=0,H790=""),"",H790/G790)</f>
        <v/>
      </c>
    </row>
    <row r="791" customFormat="false" ht="15" hidden="false" customHeight="false" outlineLevel="0" collapsed="false">
      <c r="A791" s="12"/>
      <c r="B791" s="6"/>
      <c r="C791" s="13" t="str">
        <f aca="false">IF(B791="","",IFERROR(INDEX(สินค้า!$B$2:$B$101,MATCH(B791,สินค้า!$A$2:$A$101,0)),"ไม่พบรหัส"))</f>
        <v/>
      </c>
      <c r="D791" s="14" t="str">
        <f aca="false">IF(B791="","",IFERROR(INDEX(สินค้า!$D$2:$D$101,MATCH(B791,สินค้า!$A$2:$A$101,0)),""))</f>
        <v/>
      </c>
      <c r="E791" s="6"/>
      <c r="F791" s="8"/>
      <c r="G791" s="8"/>
      <c r="H791" s="8"/>
      <c r="I791" s="15"/>
      <c r="J791" s="15"/>
      <c r="K791" s="10" t="str">
        <f aca="false">IF(J791&lt;&gt;"",J791,IF(I791="","",I791*IFERROR(INDEX(สินค้า!$G$2:$G$101,MATCH(B791,สินค้า!$A$2:$A$101,0)),0)))</f>
        <v/>
      </c>
      <c r="L791" s="16" t="str">
        <f aca="false">IF(OR(F791="",F791=0,G791=""),"",G791/F791)</f>
        <v/>
      </c>
      <c r="M791" s="16" t="str">
        <f aca="false">IF(OR(G791="",G791=0,H791=""),"",H791/G791)</f>
        <v/>
      </c>
    </row>
    <row r="792" customFormat="false" ht="15" hidden="false" customHeight="false" outlineLevel="0" collapsed="false">
      <c r="A792" s="12"/>
      <c r="B792" s="6"/>
      <c r="C792" s="13" t="str">
        <f aca="false">IF(B792="","",IFERROR(INDEX(สินค้า!$B$2:$B$101,MATCH(B792,สินค้า!$A$2:$A$101,0)),"ไม่พบรหัส"))</f>
        <v/>
      </c>
      <c r="D792" s="14" t="str">
        <f aca="false">IF(B792="","",IFERROR(INDEX(สินค้า!$D$2:$D$101,MATCH(B792,สินค้า!$A$2:$A$101,0)),""))</f>
        <v/>
      </c>
      <c r="E792" s="6"/>
      <c r="F792" s="8"/>
      <c r="G792" s="8"/>
      <c r="H792" s="8"/>
      <c r="I792" s="15"/>
      <c r="J792" s="15"/>
      <c r="K792" s="10" t="str">
        <f aca="false">IF(J792&lt;&gt;"",J792,IF(I792="","",I792*IFERROR(INDEX(สินค้า!$G$2:$G$101,MATCH(B792,สินค้า!$A$2:$A$101,0)),0)))</f>
        <v/>
      </c>
      <c r="L792" s="16" t="str">
        <f aca="false">IF(OR(F792="",F792=0,G792=""),"",G792/F792)</f>
        <v/>
      </c>
      <c r="M792" s="16" t="str">
        <f aca="false">IF(OR(G792="",G792=0,H792=""),"",H792/G792)</f>
        <v/>
      </c>
    </row>
    <row r="793" customFormat="false" ht="15" hidden="false" customHeight="false" outlineLevel="0" collapsed="false">
      <c r="A793" s="12"/>
      <c r="B793" s="6"/>
      <c r="C793" s="13" t="str">
        <f aca="false">IF(B793="","",IFERROR(INDEX(สินค้า!$B$2:$B$101,MATCH(B793,สินค้า!$A$2:$A$101,0)),"ไม่พบรหัส"))</f>
        <v/>
      </c>
      <c r="D793" s="14" t="str">
        <f aca="false">IF(B793="","",IFERROR(INDEX(สินค้า!$D$2:$D$101,MATCH(B793,สินค้า!$A$2:$A$101,0)),""))</f>
        <v/>
      </c>
      <c r="E793" s="6"/>
      <c r="F793" s="8"/>
      <c r="G793" s="8"/>
      <c r="H793" s="8"/>
      <c r="I793" s="15"/>
      <c r="J793" s="15"/>
      <c r="K793" s="10" t="str">
        <f aca="false">IF(J793&lt;&gt;"",J793,IF(I793="","",I793*IFERROR(INDEX(สินค้า!$G$2:$G$101,MATCH(B793,สินค้า!$A$2:$A$101,0)),0)))</f>
        <v/>
      </c>
      <c r="L793" s="16" t="str">
        <f aca="false">IF(OR(F793="",F793=0,G793=""),"",G793/F793)</f>
        <v/>
      </c>
      <c r="M793" s="16" t="str">
        <f aca="false">IF(OR(G793="",G793=0,H793=""),"",H793/G793)</f>
        <v/>
      </c>
    </row>
    <row r="794" customFormat="false" ht="15" hidden="false" customHeight="false" outlineLevel="0" collapsed="false">
      <c r="A794" s="12"/>
      <c r="B794" s="6"/>
      <c r="C794" s="13" t="str">
        <f aca="false">IF(B794="","",IFERROR(INDEX(สินค้า!$B$2:$B$101,MATCH(B794,สินค้า!$A$2:$A$101,0)),"ไม่พบรหัส"))</f>
        <v/>
      </c>
      <c r="D794" s="14" t="str">
        <f aca="false">IF(B794="","",IFERROR(INDEX(สินค้า!$D$2:$D$101,MATCH(B794,สินค้า!$A$2:$A$101,0)),""))</f>
        <v/>
      </c>
      <c r="E794" s="6"/>
      <c r="F794" s="8"/>
      <c r="G794" s="8"/>
      <c r="H794" s="8"/>
      <c r="I794" s="15"/>
      <c r="J794" s="15"/>
      <c r="K794" s="10" t="str">
        <f aca="false">IF(J794&lt;&gt;"",J794,IF(I794="","",I794*IFERROR(INDEX(สินค้า!$G$2:$G$101,MATCH(B794,สินค้า!$A$2:$A$101,0)),0)))</f>
        <v/>
      </c>
      <c r="L794" s="16" t="str">
        <f aca="false">IF(OR(F794="",F794=0,G794=""),"",G794/F794)</f>
        <v/>
      </c>
      <c r="M794" s="16" t="str">
        <f aca="false">IF(OR(G794="",G794=0,H794=""),"",H794/G794)</f>
        <v/>
      </c>
    </row>
    <row r="795" customFormat="false" ht="15" hidden="false" customHeight="false" outlineLevel="0" collapsed="false">
      <c r="A795" s="12"/>
      <c r="B795" s="6"/>
      <c r="C795" s="13" t="str">
        <f aca="false">IF(B795="","",IFERROR(INDEX(สินค้า!$B$2:$B$101,MATCH(B795,สินค้า!$A$2:$A$101,0)),"ไม่พบรหัส"))</f>
        <v/>
      </c>
      <c r="D795" s="14" t="str">
        <f aca="false">IF(B795="","",IFERROR(INDEX(สินค้า!$D$2:$D$101,MATCH(B795,สินค้า!$A$2:$A$101,0)),""))</f>
        <v/>
      </c>
      <c r="E795" s="6"/>
      <c r="F795" s="8"/>
      <c r="G795" s="8"/>
      <c r="H795" s="8"/>
      <c r="I795" s="15"/>
      <c r="J795" s="15"/>
      <c r="K795" s="10" t="str">
        <f aca="false">IF(J795&lt;&gt;"",J795,IF(I795="","",I795*IFERROR(INDEX(สินค้า!$G$2:$G$101,MATCH(B795,สินค้า!$A$2:$A$101,0)),0)))</f>
        <v/>
      </c>
      <c r="L795" s="16" t="str">
        <f aca="false">IF(OR(F795="",F795=0,G795=""),"",G795/F795)</f>
        <v/>
      </c>
      <c r="M795" s="16" t="str">
        <f aca="false">IF(OR(G795="",G795=0,H795=""),"",H795/G795)</f>
        <v/>
      </c>
    </row>
    <row r="796" customFormat="false" ht="15" hidden="false" customHeight="false" outlineLevel="0" collapsed="false">
      <c r="A796" s="12"/>
      <c r="B796" s="6"/>
      <c r="C796" s="13" t="str">
        <f aca="false">IF(B796="","",IFERROR(INDEX(สินค้า!$B$2:$B$101,MATCH(B796,สินค้า!$A$2:$A$101,0)),"ไม่พบรหัส"))</f>
        <v/>
      </c>
      <c r="D796" s="14" t="str">
        <f aca="false">IF(B796="","",IFERROR(INDEX(สินค้า!$D$2:$D$101,MATCH(B796,สินค้า!$A$2:$A$101,0)),""))</f>
        <v/>
      </c>
      <c r="E796" s="6"/>
      <c r="F796" s="8"/>
      <c r="G796" s="8"/>
      <c r="H796" s="8"/>
      <c r="I796" s="15"/>
      <c r="J796" s="15"/>
      <c r="K796" s="10" t="str">
        <f aca="false">IF(J796&lt;&gt;"",J796,IF(I796="","",I796*IFERROR(INDEX(สินค้า!$G$2:$G$101,MATCH(B796,สินค้า!$A$2:$A$101,0)),0)))</f>
        <v/>
      </c>
      <c r="L796" s="16" t="str">
        <f aca="false">IF(OR(F796="",F796=0,G796=""),"",G796/F796)</f>
        <v/>
      </c>
      <c r="M796" s="16" t="str">
        <f aca="false">IF(OR(G796="",G796=0,H796=""),"",H796/G796)</f>
        <v/>
      </c>
    </row>
    <row r="797" customFormat="false" ht="15" hidden="false" customHeight="false" outlineLevel="0" collapsed="false">
      <c r="A797" s="12"/>
      <c r="B797" s="6"/>
      <c r="C797" s="13" t="str">
        <f aca="false">IF(B797="","",IFERROR(INDEX(สินค้า!$B$2:$B$101,MATCH(B797,สินค้า!$A$2:$A$101,0)),"ไม่พบรหัส"))</f>
        <v/>
      </c>
      <c r="D797" s="14" t="str">
        <f aca="false">IF(B797="","",IFERROR(INDEX(สินค้า!$D$2:$D$101,MATCH(B797,สินค้า!$A$2:$A$101,0)),""))</f>
        <v/>
      </c>
      <c r="E797" s="6"/>
      <c r="F797" s="8"/>
      <c r="G797" s="8"/>
      <c r="H797" s="8"/>
      <c r="I797" s="15"/>
      <c r="J797" s="15"/>
      <c r="K797" s="10" t="str">
        <f aca="false">IF(J797&lt;&gt;"",J797,IF(I797="","",I797*IFERROR(INDEX(สินค้า!$G$2:$G$101,MATCH(B797,สินค้า!$A$2:$A$101,0)),0)))</f>
        <v/>
      </c>
      <c r="L797" s="16" t="str">
        <f aca="false">IF(OR(F797="",F797=0,G797=""),"",G797/F797)</f>
        <v/>
      </c>
      <c r="M797" s="16" t="str">
        <f aca="false">IF(OR(G797="",G797=0,H797=""),"",H797/G797)</f>
        <v/>
      </c>
    </row>
    <row r="798" customFormat="false" ht="15" hidden="false" customHeight="false" outlineLevel="0" collapsed="false">
      <c r="A798" s="12"/>
      <c r="B798" s="6"/>
      <c r="C798" s="13" t="str">
        <f aca="false">IF(B798="","",IFERROR(INDEX(สินค้า!$B$2:$B$101,MATCH(B798,สินค้า!$A$2:$A$101,0)),"ไม่พบรหัส"))</f>
        <v/>
      </c>
      <c r="D798" s="14" t="str">
        <f aca="false">IF(B798="","",IFERROR(INDEX(สินค้า!$D$2:$D$101,MATCH(B798,สินค้า!$A$2:$A$101,0)),""))</f>
        <v/>
      </c>
      <c r="E798" s="6"/>
      <c r="F798" s="8"/>
      <c r="G798" s="8"/>
      <c r="H798" s="8"/>
      <c r="I798" s="15"/>
      <c r="J798" s="15"/>
      <c r="K798" s="10" t="str">
        <f aca="false">IF(J798&lt;&gt;"",J798,IF(I798="","",I798*IFERROR(INDEX(สินค้า!$G$2:$G$101,MATCH(B798,สินค้า!$A$2:$A$101,0)),0)))</f>
        <v/>
      </c>
      <c r="L798" s="16" t="str">
        <f aca="false">IF(OR(F798="",F798=0,G798=""),"",G798/F798)</f>
        <v/>
      </c>
      <c r="M798" s="16" t="str">
        <f aca="false">IF(OR(G798="",G798=0,H798=""),"",H798/G798)</f>
        <v/>
      </c>
    </row>
    <row r="799" customFormat="false" ht="15" hidden="false" customHeight="false" outlineLevel="0" collapsed="false">
      <c r="A799" s="12"/>
      <c r="B799" s="6"/>
      <c r="C799" s="13" t="str">
        <f aca="false">IF(B799="","",IFERROR(INDEX(สินค้า!$B$2:$B$101,MATCH(B799,สินค้า!$A$2:$A$101,0)),"ไม่พบรหัส"))</f>
        <v/>
      </c>
      <c r="D799" s="14" t="str">
        <f aca="false">IF(B799="","",IFERROR(INDEX(สินค้า!$D$2:$D$101,MATCH(B799,สินค้า!$A$2:$A$101,0)),""))</f>
        <v/>
      </c>
      <c r="E799" s="6"/>
      <c r="F799" s="8"/>
      <c r="G799" s="8"/>
      <c r="H799" s="8"/>
      <c r="I799" s="15"/>
      <c r="J799" s="15"/>
      <c r="K799" s="10" t="str">
        <f aca="false">IF(J799&lt;&gt;"",J799,IF(I799="","",I799*IFERROR(INDEX(สินค้า!$G$2:$G$101,MATCH(B799,สินค้า!$A$2:$A$101,0)),0)))</f>
        <v/>
      </c>
      <c r="L799" s="16" t="str">
        <f aca="false">IF(OR(F799="",F799=0,G799=""),"",G799/F799)</f>
        <v/>
      </c>
      <c r="M799" s="16" t="str">
        <f aca="false">IF(OR(G799="",G799=0,H799=""),"",H799/G799)</f>
        <v/>
      </c>
    </row>
    <row r="800" customFormat="false" ht="15" hidden="false" customHeight="false" outlineLevel="0" collapsed="false">
      <c r="A800" s="12"/>
      <c r="B800" s="6"/>
      <c r="C800" s="13" t="str">
        <f aca="false">IF(B800="","",IFERROR(INDEX(สินค้า!$B$2:$B$101,MATCH(B800,สินค้า!$A$2:$A$101,0)),"ไม่พบรหัส"))</f>
        <v/>
      </c>
      <c r="D800" s="14" t="str">
        <f aca="false">IF(B800="","",IFERROR(INDEX(สินค้า!$D$2:$D$101,MATCH(B800,สินค้า!$A$2:$A$101,0)),""))</f>
        <v/>
      </c>
      <c r="E800" s="6"/>
      <c r="F800" s="8"/>
      <c r="G800" s="8"/>
      <c r="H800" s="8"/>
      <c r="I800" s="15"/>
      <c r="J800" s="15"/>
      <c r="K800" s="10" t="str">
        <f aca="false">IF(J800&lt;&gt;"",J800,IF(I800="","",I800*IFERROR(INDEX(สินค้า!$G$2:$G$101,MATCH(B800,สินค้า!$A$2:$A$101,0)),0)))</f>
        <v/>
      </c>
      <c r="L800" s="16" t="str">
        <f aca="false">IF(OR(F800="",F800=0,G800=""),"",G800/F800)</f>
        <v/>
      </c>
      <c r="M800" s="16" t="str">
        <f aca="false">IF(OR(G800="",G800=0,H800=""),"",H800/G800)</f>
        <v/>
      </c>
    </row>
    <row r="801" customFormat="false" ht="15" hidden="false" customHeight="false" outlineLevel="0" collapsed="false">
      <c r="A801" s="12"/>
      <c r="B801" s="6"/>
      <c r="C801" s="13" t="str">
        <f aca="false">IF(B801="","",IFERROR(INDEX(สินค้า!$B$2:$B$101,MATCH(B801,สินค้า!$A$2:$A$101,0)),"ไม่พบรหัส"))</f>
        <v/>
      </c>
      <c r="D801" s="14" t="str">
        <f aca="false">IF(B801="","",IFERROR(INDEX(สินค้า!$D$2:$D$101,MATCH(B801,สินค้า!$A$2:$A$101,0)),""))</f>
        <v/>
      </c>
      <c r="E801" s="6"/>
      <c r="F801" s="8"/>
      <c r="G801" s="8"/>
      <c r="H801" s="8"/>
      <c r="I801" s="15"/>
      <c r="J801" s="15"/>
      <c r="K801" s="10" t="str">
        <f aca="false">IF(J801&lt;&gt;"",J801,IF(I801="","",I801*IFERROR(INDEX(สินค้า!$G$2:$G$101,MATCH(B801,สินค้า!$A$2:$A$101,0)),0)))</f>
        <v/>
      </c>
      <c r="L801" s="16" t="str">
        <f aca="false">IF(OR(F801="",F801=0,G801=""),"",G801/F801)</f>
        <v/>
      </c>
      <c r="M801" s="16" t="str">
        <f aca="false">IF(OR(G801="",G801=0,H801=""),"",H801/G801)</f>
        <v/>
      </c>
    </row>
    <row r="802" customFormat="false" ht="15" hidden="false" customHeight="false" outlineLevel="0" collapsed="false">
      <c r="A802" s="12"/>
      <c r="B802" s="6"/>
      <c r="C802" s="13" t="str">
        <f aca="false">IF(B802="","",IFERROR(INDEX(สินค้า!$B$2:$B$101,MATCH(B802,สินค้า!$A$2:$A$101,0)),"ไม่พบรหัส"))</f>
        <v/>
      </c>
      <c r="D802" s="14" t="str">
        <f aca="false">IF(B802="","",IFERROR(INDEX(สินค้า!$D$2:$D$101,MATCH(B802,สินค้า!$A$2:$A$101,0)),""))</f>
        <v/>
      </c>
      <c r="E802" s="6"/>
      <c r="F802" s="8"/>
      <c r="G802" s="8"/>
      <c r="H802" s="8"/>
      <c r="I802" s="15"/>
      <c r="J802" s="15"/>
      <c r="K802" s="10" t="str">
        <f aca="false">IF(J802&lt;&gt;"",J802,IF(I802="","",I802*IFERROR(INDEX(สินค้า!$G$2:$G$101,MATCH(B802,สินค้า!$A$2:$A$101,0)),0)))</f>
        <v/>
      </c>
      <c r="L802" s="16" t="str">
        <f aca="false">IF(OR(F802="",F802=0,G802=""),"",G802/F802)</f>
        <v/>
      </c>
      <c r="M802" s="16" t="str">
        <f aca="false">IF(OR(G802="",G802=0,H802=""),"",H802/G802)</f>
        <v/>
      </c>
    </row>
    <row r="803" customFormat="false" ht="15" hidden="false" customHeight="false" outlineLevel="0" collapsed="false">
      <c r="A803" s="12"/>
      <c r="B803" s="6"/>
      <c r="C803" s="13" t="str">
        <f aca="false">IF(B803="","",IFERROR(INDEX(สินค้า!$B$2:$B$101,MATCH(B803,สินค้า!$A$2:$A$101,0)),"ไม่พบรหัส"))</f>
        <v/>
      </c>
      <c r="D803" s="14" t="str">
        <f aca="false">IF(B803="","",IFERROR(INDEX(สินค้า!$D$2:$D$101,MATCH(B803,สินค้า!$A$2:$A$101,0)),""))</f>
        <v/>
      </c>
      <c r="E803" s="6"/>
      <c r="F803" s="8"/>
      <c r="G803" s="8"/>
      <c r="H803" s="8"/>
      <c r="I803" s="15"/>
      <c r="J803" s="15"/>
      <c r="K803" s="10" t="str">
        <f aca="false">IF(J803&lt;&gt;"",J803,IF(I803="","",I803*IFERROR(INDEX(สินค้า!$G$2:$G$101,MATCH(B803,สินค้า!$A$2:$A$101,0)),0)))</f>
        <v/>
      </c>
      <c r="L803" s="16" t="str">
        <f aca="false">IF(OR(F803="",F803=0,G803=""),"",G803/F803)</f>
        <v/>
      </c>
      <c r="M803" s="16" t="str">
        <f aca="false">IF(OR(G803="",G803=0,H803=""),"",H803/G803)</f>
        <v/>
      </c>
    </row>
    <row r="804" customFormat="false" ht="15" hidden="false" customHeight="false" outlineLevel="0" collapsed="false">
      <c r="A804" s="12"/>
      <c r="B804" s="6"/>
      <c r="C804" s="13" t="str">
        <f aca="false">IF(B804="","",IFERROR(INDEX(สินค้า!$B$2:$B$101,MATCH(B804,สินค้า!$A$2:$A$101,0)),"ไม่พบรหัส"))</f>
        <v/>
      </c>
      <c r="D804" s="14" t="str">
        <f aca="false">IF(B804="","",IFERROR(INDEX(สินค้า!$D$2:$D$101,MATCH(B804,สินค้า!$A$2:$A$101,0)),""))</f>
        <v/>
      </c>
      <c r="E804" s="6"/>
      <c r="F804" s="8"/>
      <c r="G804" s="8"/>
      <c r="H804" s="8"/>
      <c r="I804" s="15"/>
      <c r="J804" s="15"/>
      <c r="K804" s="10" t="str">
        <f aca="false">IF(J804&lt;&gt;"",J804,IF(I804="","",I804*IFERROR(INDEX(สินค้า!$G$2:$G$101,MATCH(B804,สินค้า!$A$2:$A$101,0)),0)))</f>
        <v/>
      </c>
      <c r="L804" s="16" t="str">
        <f aca="false">IF(OR(F804="",F804=0,G804=""),"",G804/F804)</f>
        <v/>
      </c>
      <c r="M804" s="16" t="str">
        <f aca="false">IF(OR(G804="",G804=0,H804=""),"",H804/G804)</f>
        <v/>
      </c>
    </row>
    <row r="805" customFormat="false" ht="15" hidden="false" customHeight="false" outlineLevel="0" collapsed="false">
      <c r="A805" s="12"/>
      <c r="B805" s="6"/>
      <c r="C805" s="13" t="str">
        <f aca="false">IF(B805="","",IFERROR(INDEX(สินค้า!$B$2:$B$101,MATCH(B805,สินค้า!$A$2:$A$101,0)),"ไม่พบรหัส"))</f>
        <v/>
      </c>
      <c r="D805" s="14" t="str">
        <f aca="false">IF(B805="","",IFERROR(INDEX(สินค้า!$D$2:$D$101,MATCH(B805,สินค้า!$A$2:$A$101,0)),""))</f>
        <v/>
      </c>
      <c r="E805" s="6"/>
      <c r="F805" s="8"/>
      <c r="G805" s="8"/>
      <c r="H805" s="8"/>
      <c r="I805" s="15"/>
      <c r="J805" s="15"/>
      <c r="K805" s="10" t="str">
        <f aca="false">IF(J805&lt;&gt;"",J805,IF(I805="","",I805*IFERROR(INDEX(สินค้า!$G$2:$G$101,MATCH(B805,สินค้า!$A$2:$A$101,0)),0)))</f>
        <v/>
      </c>
      <c r="L805" s="16" t="str">
        <f aca="false">IF(OR(F805="",F805=0,G805=""),"",G805/F805)</f>
        <v/>
      </c>
      <c r="M805" s="16" t="str">
        <f aca="false">IF(OR(G805="",G805=0,H805=""),"",H805/G805)</f>
        <v/>
      </c>
    </row>
    <row r="806" customFormat="false" ht="15" hidden="false" customHeight="false" outlineLevel="0" collapsed="false">
      <c r="A806" s="12"/>
      <c r="B806" s="6"/>
      <c r="C806" s="13" t="str">
        <f aca="false">IF(B806="","",IFERROR(INDEX(สินค้า!$B$2:$B$101,MATCH(B806,สินค้า!$A$2:$A$101,0)),"ไม่พบรหัส"))</f>
        <v/>
      </c>
      <c r="D806" s="14" t="str">
        <f aca="false">IF(B806="","",IFERROR(INDEX(สินค้า!$D$2:$D$101,MATCH(B806,สินค้า!$A$2:$A$101,0)),""))</f>
        <v/>
      </c>
      <c r="E806" s="6"/>
      <c r="F806" s="8"/>
      <c r="G806" s="8"/>
      <c r="H806" s="8"/>
      <c r="I806" s="15"/>
      <c r="J806" s="15"/>
      <c r="K806" s="10" t="str">
        <f aca="false">IF(J806&lt;&gt;"",J806,IF(I806="","",I806*IFERROR(INDEX(สินค้า!$G$2:$G$101,MATCH(B806,สินค้า!$A$2:$A$101,0)),0)))</f>
        <v/>
      </c>
      <c r="L806" s="16" t="str">
        <f aca="false">IF(OR(F806="",F806=0,G806=""),"",G806/F806)</f>
        <v/>
      </c>
      <c r="M806" s="16" t="str">
        <f aca="false">IF(OR(G806="",G806=0,H806=""),"",H806/G806)</f>
        <v/>
      </c>
    </row>
    <row r="807" customFormat="false" ht="15" hidden="false" customHeight="false" outlineLevel="0" collapsed="false">
      <c r="A807" s="12"/>
      <c r="B807" s="6"/>
      <c r="C807" s="13" t="str">
        <f aca="false">IF(B807="","",IFERROR(INDEX(สินค้า!$B$2:$B$101,MATCH(B807,สินค้า!$A$2:$A$101,0)),"ไม่พบรหัส"))</f>
        <v/>
      </c>
      <c r="D807" s="14" t="str">
        <f aca="false">IF(B807="","",IFERROR(INDEX(สินค้า!$D$2:$D$101,MATCH(B807,สินค้า!$A$2:$A$101,0)),""))</f>
        <v/>
      </c>
      <c r="E807" s="6"/>
      <c r="F807" s="8"/>
      <c r="G807" s="8"/>
      <c r="H807" s="8"/>
      <c r="I807" s="15"/>
      <c r="J807" s="15"/>
      <c r="K807" s="10" t="str">
        <f aca="false">IF(J807&lt;&gt;"",J807,IF(I807="","",I807*IFERROR(INDEX(สินค้า!$G$2:$G$101,MATCH(B807,สินค้า!$A$2:$A$101,0)),0)))</f>
        <v/>
      </c>
      <c r="L807" s="16" t="str">
        <f aca="false">IF(OR(F807="",F807=0,G807=""),"",G807/F807)</f>
        <v/>
      </c>
      <c r="M807" s="16" t="str">
        <f aca="false">IF(OR(G807="",G807=0,H807=""),"",H807/G807)</f>
        <v/>
      </c>
    </row>
    <row r="808" customFormat="false" ht="15" hidden="false" customHeight="false" outlineLevel="0" collapsed="false">
      <c r="A808" s="12"/>
      <c r="B808" s="6"/>
      <c r="C808" s="13" t="str">
        <f aca="false">IF(B808="","",IFERROR(INDEX(สินค้า!$B$2:$B$101,MATCH(B808,สินค้า!$A$2:$A$101,0)),"ไม่พบรหัส"))</f>
        <v/>
      </c>
      <c r="D808" s="14" t="str">
        <f aca="false">IF(B808="","",IFERROR(INDEX(สินค้า!$D$2:$D$101,MATCH(B808,สินค้า!$A$2:$A$101,0)),""))</f>
        <v/>
      </c>
      <c r="E808" s="6"/>
      <c r="F808" s="8"/>
      <c r="G808" s="8"/>
      <c r="H808" s="8"/>
      <c r="I808" s="15"/>
      <c r="J808" s="15"/>
      <c r="K808" s="10" t="str">
        <f aca="false">IF(J808&lt;&gt;"",J808,IF(I808="","",I808*IFERROR(INDEX(สินค้า!$G$2:$G$101,MATCH(B808,สินค้า!$A$2:$A$101,0)),0)))</f>
        <v/>
      </c>
      <c r="L808" s="16" t="str">
        <f aca="false">IF(OR(F808="",F808=0,G808=""),"",G808/F808)</f>
        <v/>
      </c>
      <c r="M808" s="16" t="str">
        <f aca="false">IF(OR(G808="",G808=0,H808=""),"",H808/G808)</f>
        <v/>
      </c>
    </row>
    <row r="809" customFormat="false" ht="15" hidden="false" customHeight="false" outlineLevel="0" collapsed="false">
      <c r="A809" s="12"/>
      <c r="B809" s="6"/>
      <c r="C809" s="13" t="str">
        <f aca="false">IF(B809="","",IFERROR(INDEX(สินค้า!$B$2:$B$101,MATCH(B809,สินค้า!$A$2:$A$101,0)),"ไม่พบรหัส"))</f>
        <v/>
      </c>
      <c r="D809" s="14" t="str">
        <f aca="false">IF(B809="","",IFERROR(INDEX(สินค้า!$D$2:$D$101,MATCH(B809,สินค้า!$A$2:$A$101,0)),""))</f>
        <v/>
      </c>
      <c r="E809" s="6"/>
      <c r="F809" s="8"/>
      <c r="G809" s="8"/>
      <c r="H809" s="8"/>
      <c r="I809" s="15"/>
      <c r="J809" s="15"/>
      <c r="K809" s="10" t="str">
        <f aca="false">IF(J809&lt;&gt;"",J809,IF(I809="","",I809*IFERROR(INDEX(สินค้า!$G$2:$G$101,MATCH(B809,สินค้า!$A$2:$A$101,0)),0)))</f>
        <v/>
      </c>
      <c r="L809" s="16" t="str">
        <f aca="false">IF(OR(F809="",F809=0,G809=""),"",G809/F809)</f>
        <v/>
      </c>
      <c r="M809" s="16" t="str">
        <f aca="false">IF(OR(G809="",G809=0,H809=""),"",H809/G809)</f>
        <v/>
      </c>
    </row>
    <row r="810" customFormat="false" ht="15" hidden="false" customHeight="false" outlineLevel="0" collapsed="false">
      <c r="A810" s="12"/>
      <c r="B810" s="6"/>
      <c r="C810" s="13" t="str">
        <f aca="false">IF(B810="","",IFERROR(INDEX(สินค้า!$B$2:$B$101,MATCH(B810,สินค้า!$A$2:$A$101,0)),"ไม่พบรหัส"))</f>
        <v/>
      </c>
      <c r="D810" s="14" t="str">
        <f aca="false">IF(B810="","",IFERROR(INDEX(สินค้า!$D$2:$D$101,MATCH(B810,สินค้า!$A$2:$A$101,0)),""))</f>
        <v/>
      </c>
      <c r="E810" s="6"/>
      <c r="F810" s="8"/>
      <c r="G810" s="8"/>
      <c r="H810" s="8"/>
      <c r="I810" s="15"/>
      <c r="J810" s="15"/>
      <c r="K810" s="10" t="str">
        <f aca="false">IF(J810&lt;&gt;"",J810,IF(I810="","",I810*IFERROR(INDEX(สินค้า!$G$2:$G$101,MATCH(B810,สินค้า!$A$2:$A$101,0)),0)))</f>
        <v/>
      </c>
      <c r="L810" s="16" t="str">
        <f aca="false">IF(OR(F810="",F810=0,G810=""),"",G810/F810)</f>
        <v/>
      </c>
      <c r="M810" s="16" t="str">
        <f aca="false">IF(OR(G810="",G810=0,H810=""),"",H810/G810)</f>
        <v/>
      </c>
    </row>
    <row r="811" customFormat="false" ht="15" hidden="false" customHeight="false" outlineLevel="0" collapsed="false">
      <c r="A811" s="12"/>
      <c r="B811" s="6"/>
      <c r="C811" s="13" t="str">
        <f aca="false">IF(B811="","",IFERROR(INDEX(สินค้า!$B$2:$B$101,MATCH(B811,สินค้า!$A$2:$A$101,0)),"ไม่พบรหัส"))</f>
        <v/>
      </c>
      <c r="D811" s="14" t="str">
        <f aca="false">IF(B811="","",IFERROR(INDEX(สินค้า!$D$2:$D$101,MATCH(B811,สินค้า!$A$2:$A$101,0)),""))</f>
        <v/>
      </c>
      <c r="E811" s="6"/>
      <c r="F811" s="8"/>
      <c r="G811" s="8"/>
      <c r="H811" s="8"/>
      <c r="I811" s="15"/>
      <c r="J811" s="15"/>
      <c r="K811" s="10" t="str">
        <f aca="false">IF(J811&lt;&gt;"",J811,IF(I811="","",I811*IFERROR(INDEX(สินค้า!$G$2:$G$101,MATCH(B811,สินค้า!$A$2:$A$101,0)),0)))</f>
        <v/>
      </c>
      <c r="L811" s="16" t="str">
        <f aca="false">IF(OR(F811="",F811=0,G811=""),"",G811/F811)</f>
        <v/>
      </c>
      <c r="M811" s="16" t="str">
        <f aca="false">IF(OR(G811="",G811=0,H811=""),"",H811/G811)</f>
        <v/>
      </c>
    </row>
    <row r="812" customFormat="false" ht="15" hidden="false" customHeight="false" outlineLevel="0" collapsed="false">
      <c r="A812" s="12"/>
      <c r="B812" s="6"/>
      <c r="C812" s="13" t="str">
        <f aca="false">IF(B812="","",IFERROR(INDEX(สินค้า!$B$2:$B$101,MATCH(B812,สินค้า!$A$2:$A$101,0)),"ไม่พบรหัส"))</f>
        <v/>
      </c>
      <c r="D812" s="14" t="str">
        <f aca="false">IF(B812="","",IFERROR(INDEX(สินค้า!$D$2:$D$101,MATCH(B812,สินค้า!$A$2:$A$101,0)),""))</f>
        <v/>
      </c>
      <c r="E812" s="6"/>
      <c r="F812" s="8"/>
      <c r="G812" s="8"/>
      <c r="H812" s="8"/>
      <c r="I812" s="15"/>
      <c r="J812" s="15"/>
      <c r="K812" s="10" t="str">
        <f aca="false">IF(J812&lt;&gt;"",J812,IF(I812="","",I812*IFERROR(INDEX(สินค้า!$G$2:$G$101,MATCH(B812,สินค้า!$A$2:$A$101,0)),0)))</f>
        <v/>
      </c>
      <c r="L812" s="16" t="str">
        <f aca="false">IF(OR(F812="",F812=0,G812=""),"",G812/F812)</f>
        <v/>
      </c>
      <c r="M812" s="16" t="str">
        <f aca="false">IF(OR(G812="",G812=0,H812=""),"",H812/G812)</f>
        <v/>
      </c>
    </row>
    <row r="813" customFormat="false" ht="15" hidden="false" customHeight="false" outlineLevel="0" collapsed="false">
      <c r="A813" s="12"/>
      <c r="B813" s="6"/>
      <c r="C813" s="13" t="str">
        <f aca="false">IF(B813="","",IFERROR(INDEX(สินค้า!$B$2:$B$101,MATCH(B813,สินค้า!$A$2:$A$101,0)),"ไม่พบรหัส"))</f>
        <v/>
      </c>
      <c r="D813" s="14" t="str">
        <f aca="false">IF(B813="","",IFERROR(INDEX(สินค้า!$D$2:$D$101,MATCH(B813,สินค้า!$A$2:$A$101,0)),""))</f>
        <v/>
      </c>
      <c r="E813" s="6"/>
      <c r="F813" s="8"/>
      <c r="G813" s="8"/>
      <c r="H813" s="8"/>
      <c r="I813" s="15"/>
      <c r="J813" s="15"/>
      <c r="K813" s="10" t="str">
        <f aca="false">IF(J813&lt;&gt;"",J813,IF(I813="","",I813*IFERROR(INDEX(สินค้า!$G$2:$G$101,MATCH(B813,สินค้า!$A$2:$A$101,0)),0)))</f>
        <v/>
      </c>
      <c r="L813" s="16" t="str">
        <f aca="false">IF(OR(F813="",F813=0,G813=""),"",G813/F813)</f>
        <v/>
      </c>
      <c r="M813" s="16" t="str">
        <f aca="false">IF(OR(G813="",G813=0,H813=""),"",H813/G813)</f>
        <v/>
      </c>
    </row>
    <row r="814" customFormat="false" ht="15" hidden="false" customHeight="false" outlineLevel="0" collapsed="false">
      <c r="A814" s="12"/>
      <c r="B814" s="6"/>
      <c r="C814" s="13" t="str">
        <f aca="false">IF(B814="","",IFERROR(INDEX(สินค้า!$B$2:$B$101,MATCH(B814,สินค้า!$A$2:$A$101,0)),"ไม่พบรหัส"))</f>
        <v/>
      </c>
      <c r="D814" s="14" t="str">
        <f aca="false">IF(B814="","",IFERROR(INDEX(สินค้า!$D$2:$D$101,MATCH(B814,สินค้า!$A$2:$A$101,0)),""))</f>
        <v/>
      </c>
      <c r="E814" s="6"/>
      <c r="F814" s="8"/>
      <c r="G814" s="8"/>
      <c r="H814" s="8"/>
      <c r="I814" s="15"/>
      <c r="J814" s="15"/>
      <c r="K814" s="10" t="str">
        <f aca="false">IF(J814&lt;&gt;"",J814,IF(I814="","",I814*IFERROR(INDEX(สินค้า!$G$2:$G$101,MATCH(B814,สินค้า!$A$2:$A$101,0)),0)))</f>
        <v/>
      </c>
      <c r="L814" s="16" t="str">
        <f aca="false">IF(OR(F814="",F814=0,G814=""),"",G814/F814)</f>
        <v/>
      </c>
      <c r="M814" s="16" t="str">
        <f aca="false">IF(OR(G814="",G814=0,H814=""),"",H814/G814)</f>
        <v/>
      </c>
    </row>
    <row r="815" customFormat="false" ht="15" hidden="false" customHeight="false" outlineLevel="0" collapsed="false">
      <c r="A815" s="12"/>
      <c r="B815" s="6"/>
      <c r="C815" s="13" t="str">
        <f aca="false">IF(B815="","",IFERROR(INDEX(สินค้า!$B$2:$B$101,MATCH(B815,สินค้า!$A$2:$A$101,0)),"ไม่พบรหัส"))</f>
        <v/>
      </c>
      <c r="D815" s="14" t="str">
        <f aca="false">IF(B815="","",IFERROR(INDEX(สินค้า!$D$2:$D$101,MATCH(B815,สินค้า!$A$2:$A$101,0)),""))</f>
        <v/>
      </c>
      <c r="E815" s="6"/>
      <c r="F815" s="8"/>
      <c r="G815" s="8"/>
      <c r="H815" s="8"/>
      <c r="I815" s="15"/>
      <c r="J815" s="15"/>
      <c r="K815" s="10" t="str">
        <f aca="false">IF(J815&lt;&gt;"",J815,IF(I815="","",I815*IFERROR(INDEX(สินค้า!$G$2:$G$101,MATCH(B815,สินค้า!$A$2:$A$101,0)),0)))</f>
        <v/>
      </c>
      <c r="L815" s="16" t="str">
        <f aca="false">IF(OR(F815="",F815=0,G815=""),"",G815/F815)</f>
        <v/>
      </c>
      <c r="M815" s="16" t="str">
        <f aca="false">IF(OR(G815="",G815=0,H815=""),"",H815/G815)</f>
        <v/>
      </c>
    </row>
    <row r="816" customFormat="false" ht="15" hidden="false" customHeight="false" outlineLevel="0" collapsed="false">
      <c r="A816" s="12"/>
      <c r="B816" s="6"/>
      <c r="C816" s="13" t="str">
        <f aca="false">IF(B816="","",IFERROR(INDEX(สินค้า!$B$2:$B$101,MATCH(B816,สินค้า!$A$2:$A$101,0)),"ไม่พบรหัส"))</f>
        <v/>
      </c>
      <c r="D816" s="14" t="str">
        <f aca="false">IF(B816="","",IFERROR(INDEX(สินค้า!$D$2:$D$101,MATCH(B816,สินค้า!$A$2:$A$101,0)),""))</f>
        <v/>
      </c>
      <c r="E816" s="6"/>
      <c r="F816" s="8"/>
      <c r="G816" s="8"/>
      <c r="H816" s="8"/>
      <c r="I816" s="15"/>
      <c r="J816" s="15"/>
      <c r="K816" s="10" t="str">
        <f aca="false">IF(J816&lt;&gt;"",J816,IF(I816="","",I816*IFERROR(INDEX(สินค้า!$G$2:$G$101,MATCH(B816,สินค้า!$A$2:$A$101,0)),0)))</f>
        <v/>
      </c>
      <c r="L816" s="16" t="str">
        <f aca="false">IF(OR(F816="",F816=0,G816=""),"",G816/F816)</f>
        <v/>
      </c>
      <c r="M816" s="16" t="str">
        <f aca="false">IF(OR(G816="",G816=0,H816=""),"",H816/G816)</f>
        <v/>
      </c>
    </row>
    <row r="817" customFormat="false" ht="15" hidden="false" customHeight="false" outlineLevel="0" collapsed="false">
      <c r="A817" s="12"/>
      <c r="B817" s="6"/>
      <c r="C817" s="13" t="str">
        <f aca="false">IF(B817="","",IFERROR(INDEX(สินค้า!$B$2:$B$101,MATCH(B817,สินค้า!$A$2:$A$101,0)),"ไม่พบรหัส"))</f>
        <v/>
      </c>
      <c r="D817" s="14" t="str">
        <f aca="false">IF(B817="","",IFERROR(INDEX(สินค้า!$D$2:$D$101,MATCH(B817,สินค้า!$A$2:$A$101,0)),""))</f>
        <v/>
      </c>
      <c r="E817" s="6"/>
      <c r="F817" s="8"/>
      <c r="G817" s="8"/>
      <c r="H817" s="8"/>
      <c r="I817" s="15"/>
      <c r="J817" s="15"/>
      <c r="K817" s="10" t="str">
        <f aca="false">IF(J817&lt;&gt;"",J817,IF(I817="","",I817*IFERROR(INDEX(สินค้า!$G$2:$G$101,MATCH(B817,สินค้า!$A$2:$A$101,0)),0)))</f>
        <v/>
      </c>
      <c r="L817" s="16" t="str">
        <f aca="false">IF(OR(F817="",F817=0,G817=""),"",G817/F817)</f>
        <v/>
      </c>
      <c r="M817" s="16" t="str">
        <f aca="false">IF(OR(G817="",G817=0,H817=""),"",H817/G817)</f>
        <v/>
      </c>
    </row>
    <row r="818" customFormat="false" ht="15" hidden="false" customHeight="false" outlineLevel="0" collapsed="false">
      <c r="A818" s="12"/>
      <c r="B818" s="6"/>
      <c r="C818" s="13" t="str">
        <f aca="false">IF(B818="","",IFERROR(INDEX(สินค้า!$B$2:$B$101,MATCH(B818,สินค้า!$A$2:$A$101,0)),"ไม่พบรหัส"))</f>
        <v/>
      </c>
      <c r="D818" s="14" t="str">
        <f aca="false">IF(B818="","",IFERROR(INDEX(สินค้า!$D$2:$D$101,MATCH(B818,สินค้า!$A$2:$A$101,0)),""))</f>
        <v/>
      </c>
      <c r="E818" s="6"/>
      <c r="F818" s="8"/>
      <c r="G818" s="8"/>
      <c r="H818" s="8"/>
      <c r="I818" s="15"/>
      <c r="J818" s="15"/>
      <c r="K818" s="10" t="str">
        <f aca="false">IF(J818&lt;&gt;"",J818,IF(I818="","",I818*IFERROR(INDEX(สินค้า!$G$2:$G$101,MATCH(B818,สินค้า!$A$2:$A$101,0)),0)))</f>
        <v/>
      </c>
      <c r="L818" s="16" t="str">
        <f aca="false">IF(OR(F818="",F818=0,G818=""),"",G818/F818)</f>
        <v/>
      </c>
      <c r="M818" s="16" t="str">
        <f aca="false">IF(OR(G818="",G818=0,H818=""),"",H818/G818)</f>
        <v/>
      </c>
    </row>
    <row r="819" customFormat="false" ht="15" hidden="false" customHeight="false" outlineLevel="0" collapsed="false">
      <c r="A819" s="12"/>
      <c r="B819" s="6"/>
      <c r="C819" s="13" t="str">
        <f aca="false">IF(B819="","",IFERROR(INDEX(สินค้า!$B$2:$B$101,MATCH(B819,สินค้า!$A$2:$A$101,0)),"ไม่พบรหัส"))</f>
        <v/>
      </c>
      <c r="D819" s="14" t="str">
        <f aca="false">IF(B819="","",IFERROR(INDEX(สินค้า!$D$2:$D$101,MATCH(B819,สินค้า!$A$2:$A$101,0)),""))</f>
        <v/>
      </c>
      <c r="E819" s="6"/>
      <c r="F819" s="8"/>
      <c r="G819" s="8"/>
      <c r="H819" s="8"/>
      <c r="I819" s="15"/>
      <c r="J819" s="15"/>
      <c r="K819" s="10" t="str">
        <f aca="false">IF(J819&lt;&gt;"",J819,IF(I819="","",I819*IFERROR(INDEX(สินค้า!$G$2:$G$101,MATCH(B819,สินค้า!$A$2:$A$101,0)),0)))</f>
        <v/>
      </c>
      <c r="L819" s="16" t="str">
        <f aca="false">IF(OR(F819="",F819=0,G819=""),"",G819/F819)</f>
        <v/>
      </c>
      <c r="M819" s="16" t="str">
        <f aca="false">IF(OR(G819="",G819=0,H819=""),"",H819/G819)</f>
        <v/>
      </c>
    </row>
    <row r="820" customFormat="false" ht="15" hidden="false" customHeight="false" outlineLevel="0" collapsed="false">
      <c r="A820" s="12"/>
      <c r="B820" s="6"/>
      <c r="C820" s="13" t="str">
        <f aca="false">IF(B820="","",IFERROR(INDEX(สินค้า!$B$2:$B$101,MATCH(B820,สินค้า!$A$2:$A$101,0)),"ไม่พบรหัส"))</f>
        <v/>
      </c>
      <c r="D820" s="14" t="str">
        <f aca="false">IF(B820="","",IFERROR(INDEX(สินค้า!$D$2:$D$101,MATCH(B820,สินค้า!$A$2:$A$101,0)),""))</f>
        <v/>
      </c>
      <c r="E820" s="6"/>
      <c r="F820" s="8"/>
      <c r="G820" s="8"/>
      <c r="H820" s="8"/>
      <c r="I820" s="15"/>
      <c r="J820" s="15"/>
      <c r="K820" s="10" t="str">
        <f aca="false">IF(J820&lt;&gt;"",J820,IF(I820="","",I820*IFERROR(INDEX(สินค้า!$G$2:$G$101,MATCH(B820,สินค้า!$A$2:$A$101,0)),0)))</f>
        <v/>
      </c>
      <c r="L820" s="16" t="str">
        <f aca="false">IF(OR(F820="",F820=0,G820=""),"",G820/F820)</f>
        <v/>
      </c>
      <c r="M820" s="16" t="str">
        <f aca="false">IF(OR(G820="",G820=0,H820=""),"",H820/G820)</f>
        <v/>
      </c>
    </row>
    <row r="821" customFormat="false" ht="15" hidden="false" customHeight="false" outlineLevel="0" collapsed="false">
      <c r="A821" s="12"/>
      <c r="B821" s="6"/>
      <c r="C821" s="13" t="str">
        <f aca="false">IF(B821="","",IFERROR(INDEX(สินค้า!$B$2:$B$101,MATCH(B821,สินค้า!$A$2:$A$101,0)),"ไม่พบรหัส"))</f>
        <v/>
      </c>
      <c r="D821" s="14" t="str">
        <f aca="false">IF(B821="","",IFERROR(INDEX(สินค้า!$D$2:$D$101,MATCH(B821,สินค้า!$A$2:$A$101,0)),""))</f>
        <v/>
      </c>
      <c r="E821" s="6"/>
      <c r="F821" s="8"/>
      <c r="G821" s="8"/>
      <c r="H821" s="8"/>
      <c r="I821" s="15"/>
      <c r="J821" s="15"/>
      <c r="K821" s="10" t="str">
        <f aca="false">IF(J821&lt;&gt;"",J821,IF(I821="","",I821*IFERROR(INDEX(สินค้า!$G$2:$G$101,MATCH(B821,สินค้า!$A$2:$A$101,0)),0)))</f>
        <v/>
      </c>
      <c r="L821" s="16" t="str">
        <f aca="false">IF(OR(F821="",F821=0,G821=""),"",G821/F821)</f>
        <v/>
      </c>
      <c r="M821" s="16" t="str">
        <f aca="false">IF(OR(G821="",G821=0,H821=""),"",H821/G821)</f>
        <v/>
      </c>
    </row>
    <row r="822" customFormat="false" ht="15" hidden="false" customHeight="false" outlineLevel="0" collapsed="false">
      <c r="A822" s="12"/>
      <c r="B822" s="6"/>
      <c r="C822" s="13" t="str">
        <f aca="false">IF(B822="","",IFERROR(INDEX(สินค้า!$B$2:$B$101,MATCH(B822,สินค้า!$A$2:$A$101,0)),"ไม่พบรหัส"))</f>
        <v/>
      </c>
      <c r="D822" s="14" t="str">
        <f aca="false">IF(B822="","",IFERROR(INDEX(สินค้า!$D$2:$D$101,MATCH(B822,สินค้า!$A$2:$A$101,0)),""))</f>
        <v/>
      </c>
      <c r="E822" s="6"/>
      <c r="F822" s="8"/>
      <c r="G822" s="8"/>
      <c r="H822" s="8"/>
      <c r="I822" s="15"/>
      <c r="J822" s="15"/>
      <c r="K822" s="10" t="str">
        <f aca="false">IF(J822&lt;&gt;"",J822,IF(I822="","",I822*IFERROR(INDEX(สินค้า!$G$2:$G$101,MATCH(B822,สินค้า!$A$2:$A$101,0)),0)))</f>
        <v/>
      </c>
      <c r="L822" s="16" t="str">
        <f aca="false">IF(OR(F822="",F822=0,G822=""),"",G822/F822)</f>
        <v/>
      </c>
      <c r="M822" s="16" t="str">
        <f aca="false">IF(OR(G822="",G822=0,H822=""),"",H822/G822)</f>
        <v/>
      </c>
    </row>
    <row r="823" customFormat="false" ht="15" hidden="false" customHeight="false" outlineLevel="0" collapsed="false">
      <c r="A823" s="12"/>
      <c r="B823" s="6"/>
      <c r="C823" s="13" t="str">
        <f aca="false">IF(B823="","",IFERROR(INDEX(สินค้า!$B$2:$B$101,MATCH(B823,สินค้า!$A$2:$A$101,0)),"ไม่พบรหัส"))</f>
        <v/>
      </c>
      <c r="D823" s="14" t="str">
        <f aca="false">IF(B823="","",IFERROR(INDEX(สินค้า!$D$2:$D$101,MATCH(B823,สินค้า!$A$2:$A$101,0)),""))</f>
        <v/>
      </c>
      <c r="E823" s="6"/>
      <c r="F823" s="8"/>
      <c r="G823" s="8"/>
      <c r="H823" s="8"/>
      <c r="I823" s="15"/>
      <c r="J823" s="15"/>
      <c r="K823" s="10" t="str">
        <f aca="false">IF(J823&lt;&gt;"",J823,IF(I823="","",I823*IFERROR(INDEX(สินค้า!$G$2:$G$101,MATCH(B823,สินค้า!$A$2:$A$101,0)),0)))</f>
        <v/>
      </c>
      <c r="L823" s="16" t="str">
        <f aca="false">IF(OR(F823="",F823=0,G823=""),"",G823/F823)</f>
        <v/>
      </c>
      <c r="M823" s="16" t="str">
        <f aca="false">IF(OR(G823="",G823=0,H823=""),"",H823/G823)</f>
        <v/>
      </c>
    </row>
    <row r="824" customFormat="false" ht="15" hidden="false" customHeight="false" outlineLevel="0" collapsed="false">
      <c r="A824" s="12"/>
      <c r="B824" s="6"/>
      <c r="C824" s="13" t="str">
        <f aca="false">IF(B824="","",IFERROR(INDEX(สินค้า!$B$2:$B$101,MATCH(B824,สินค้า!$A$2:$A$101,0)),"ไม่พบรหัส"))</f>
        <v/>
      </c>
      <c r="D824" s="14" t="str">
        <f aca="false">IF(B824="","",IFERROR(INDEX(สินค้า!$D$2:$D$101,MATCH(B824,สินค้า!$A$2:$A$101,0)),""))</f>
        <v/>
      </c>
      <c r="E824" s="6"/>
      <c r="F824" s="8"/>
      <c r="G824" s="8"/>
      <c r="H824" s="8"/>
      <c r="I824" s="15"/>
      <c r="J824" s="15"/>
      <c r="K824" s="10" t="str">
        <f aca="false">IF(J824&lt;&gt;"",J824,IF(I824="","",I824*IFERROR(INDEX(สินค้า!$G$2:$G$101,MATCH(B824,สินค้า!$A$2:$A$101,0)),0)))</f>
        <v/>
      </c>
      <c r="L824" s="16" t="str">
        <f aca="false">IF(OR(F824="",F824=0,G824=""),"",G824/F824)</f>
        <v/>
      </c>
      <c r="M824" s="16" t="str">
        <f aca="false">IF(OR(G824="",G824=0,H824=""),"",H824/G824)</f>
        <v/>
      </c>
    </row>
    <row r="825" customFormat="false" ht="15" hidden="false" customHeight="false" outlineLevel="0" collapsed="false">
      <c r="A825" s="12"/>
      <c r="B825" s="6"/>
      <c r="C825" s="13" t="str">
        <f aca="false">IF(B825="","",IFERROR(INDEX(สินค้า!$B$2:$B$101,MATCH(B825,สินค้า!$A$2:$A$101,0)),"ไม่พบรหัส"))</f>
        <v/>
      </c>
      <c r="D825" s="14" t="str">
        <f aca="false">IF(B825="","",IFERROR(INDEX(สินค้า!$D$2:$D$101,MATCH(B825,สินค้า!$A$2:$A$101,0)),""))</f>
        <v/>
      </c>
      <c r="E825" s="6"/>
      <c r="F825" s="8"/>
      <c r="G825" s="8"/>
      <c r="H825" s="8"/>
      <c r="I825" s="15"/>
      <c r="J825" s="15"/>
      <c r="K825" s="10" t="str">
        <f aca="false">IF(J825&lt;&gt;"",J825,IF(I825="","",I825*IFERROR(INDEX(สินค้า!$G$2:$G$101,MATCH(B825,สินค้า!$A$2:$A$101,0)),0)))</f>
        <v/>
      </c>
      <c r="L825" s="16" t="str">
        <f aca="false">IF(OR(F825="",F825=0,G825=""),"",G825/F825)</f>
        <v/>
      </c>
      <c r="M825" s="16" t="str">
        <f aca="false">IF(OR(G825="",G825=0,H825=""),"",H825/G825)</f>
        <v/>
      </c>
    </row>
    <row r="826" customFormat="false" ht="15" hidden="false" customHeight="false" outlineLevel="0" collapsed="false">
      <c r="A826" s="12"/>
      <c r="B826" s="6"/>
      <c r="C826" s="13" t="str">
        <f aca="false">IF(B826="","",IFERROR(INDEX(สินค้า!$B$2:$B$101,MATCH(B826,สินค้า!$A$2:$A$101,0)),"ไม่พบรหัส"))</f>
        <v/>
      </c>
      <c r="D826" s="14" t="str">
        <f aca="false">IF(B826="","",IFERROR(INDEX(สินค้า!$D$2:$D$101,MATCH(B826,สินค้า!$A$2:$A$101,0)),""))</f>
        <v/>
      </c>
      <c r="E826" s="6"/>
      <c r="F826" s="8"/>
      <c r="G826" s="8"/>
      <c r="H826" s="8"/>
      <c r="I826" s="15"/>
      <c r="J826" s="15"/>
      <c r="K826" s="10" t="str">
        <f aca="false">IF(J826&lt;&gt;"",J826,IF(I826="","",I826*IFERROR(INDEX(สินค้า!$G$2:$G$101,MATCH(B826,สินค้า!$A$2:$A$101,0)),0)))</f>
        <v/>
      </c>
      <c r="L826" s="16" t="str">
        <f aca="false">IF(OR(F826="",F826=0,G826=""),"",G826/F826)</f>
        <v/>
      </c>
      <c r="M826" s="16" t="str">
        <f aca="false">IF(OR(G826="",G826=0,H826=""),"",H826/G826)</f>
        <v/>
      </c>
    </row>
    <row r="827" customFormat="false" ht="15" hidden="false" customHeight="false" outlineLevel="0" collapsed="false">
      <c r="A827" s="12"/>
      <c r="B827" s="6"/>
      <c r="C827" s="13" t="str">
        <f aca="false">IF(B827="","",IFERROR(INDEX(สินค้า!$B$2:$B$101,MATCH(B827,สินค้า!$A$2:$A$101,0)),"ไม่พบรหัส"))</f>
        <v/>
      </c>
      <c r="D827" s="14" t="str">
        <f aca="false">IF(B827="","",IFERROR(INDEX(สินค้า!$D$2:$D$101,MATCH(B827,สินค้า!$A$2:$A$101,0)),""))</f>
        <v/>
      </c>
      <c r="E827" s="6"/>
      <c r="F827" s="8"/>
      <c r="G827" s="8"/>
      <c r="H827" s="8"/>
      <c r="I827" s="15"/>
      <c r="J827" s="15"/>
      <c r="K827" s="10" t="str">
        <f aca="false">IF(J827&lt;&gt;"",J827,IF(I827="","",I827*IFERROR(INDEX(สินค้า!$G$2:$G$101,MATCH(B827,สินค้า!$A$2:$A$101,0)),0)))</f>
        <v/>
      </c>
      <c r="L827" s="16" t="str">
        <f aca="false">IF(OR(F827="",F827=0,G827=""),"",G827/F827)</f>
        <v/>
      </c>
      <c r="M827" s="16" t="str">
        <f aca="false">IF(OR(G827="",G827=0,H827=""),"",H827/G827)</f>
        <v/>
      </c>
    </row>
    <row r="828" customFormat="false" ht="15" hidden="false" customHeight="false" outlineLevel="0" collapsed="false">
      <c r="A828" s="12"/>
      <c r="B828" s="6"/>
      <c r="C828" s="13" t="str">
        <f aca="false">IF(B828="","",IFERROR(INDEX(สินค้า!$B$2:$B$101,MATCH(B828,สินค้า!$A$2:$A$101,0)),"ไม่พบรหัส"))</f>
        <v/>
      </c>
      <c r="D828" s="14" t="str">
        <f aca="false">IF(B828="","",IFERROR(INDEX(สินค้า!$D$2:$D$101,MATCH(B828,สินค้า!$A$2:$A$101,0)),""))</f>
        <v/>
      </c>
      <c r="E828" s="6"/>
      <c r="F828" s="8"/>
      <c r="G828" s="8"/>
      <c r="H828" s="8"/>
      <c r="I828" s="15"/>
      <c r="J828" s="15"/>
      <c r="K828" s="10" t="str">
        <f aca="false">IF(J828&lt;&gt;"",J828,IF(I828="","",I828*IFERROR(INDEX(สินค้า!$G$2:$G$101,MATCH(B828,สินค้า!$A$2:$A$101,0)),0)))</f>
        <v/>
      </c>
      <c r="L828" s="16" t="str">
        <f aca="false">IF(OR(F828="",F828=0,G828=""),"",G828/F828)</f>
        <v/>
      </c>
      <c r="M828" s="16" t="str">
        <f aca="false">IF(OR(G828="",G828=0,H828=""),"",H828/G828)</f>
        <v/>
      </c>
    </row>
    <row r="829" customFormat="false" ht="15" hidden="false" customHeight="false" outlineLevel="0" collapsed="false">
      <c r="A829" s="12"/>
      <c r="B829" s="6"/>
      <c r="C829" s="13" t="str">
        <f aca="false">IF(B829="","",IFERROR(INDEX(สินค้า!$B$2:$B$101,MATCH(B829,สินค้า!$A$2:$A$101,0)),"ไม่พบรหัส"))</f>
        <v/>
      </c>
      <c r="D829" s="14" t="str">
        <f aca="false">IF(B829="","",IFERROR(INDEX(สินค้า!$D$2:$D$101,MATCH(B829,สินค้า!$A$2:$A$101,0)),""))</f>
        <v/>
      </c>
      <c r="E829" s="6"/>
      <c r="F829" s="8"/>
      <c r="G829" s="8"/>
      <c r="H829" s="8"/>
      <c r="I829" s="15"/>
      <c r="J829" s="15"/>
      <c r="K829" s="10" t="str">
        <f aca="false">IF(J829&lt;&gt;"",J829,IF(I829="","",I829*IFERROR(INDEX(สินค้า!$G$2:$G$101,MATCH(B829,สินค้า!$A$2:$A$101,0)),0)))</f>
        <v/>
      </c>
      <c r="L829" s="16" t="str">
        <f aca="false">IF(OR(F829="",F829=0,G829=""),"",G829/F829)</f>
        <v/>
      </c>
      <c r="M829" s="16" t="str">
        <f aca="false">IF(OR(G829="",G829=0,H829=""),"",H829/G829)</f>
        <v/>
      </c>
    </row>
    <row r="830" customFormat="false" ht="15" hidden="false" customHeight="false" outlineLevel="0" collapsed="false">
      <c r="A830" s="12"/>
      <c r="B830" s="6"/>
      <c r="C830" s="13" t="str">
        <f aca="false">IF(B830="","",IFERROR(INDEX(สินค้า!$B$2:$B$101,MATCH(B830,สินค้า!$A$2:$A$101,0)),"ไม่พบรหัส"))</f>
        <v/>
      </c>
      <c r="D830" s="14" t="str">
        <f aca="false">IF(B830="","",IFERROR(INDEX(สินค้า!$D$2:$D$101,MATCH(B830,สินค้า!$A$2:$A$101,0)),""))</f>
        <v/>
      </c>
      <c r="E830" s="6"/>
      <c r="F830" s="8"/>
      <c r="G830" s="8"/>
      <c r="H830" s="8"/>
      <c r="I830" s="15"/>
      <c r="J830" s="15"/>
      <c r="K830" s="10" t="str">
        <f aca="false">IF(J830&lt;&gt;"",J830,IF(I830="","",I830*IFERROR(INDEX(สินค้า!$G$2:$G$101,MATCH(B830,สินค้า!$A$2:$A$101,0)),0)))</f>
        <v/>
      </c>
      <c r="L830" s="16" t="str">
        <f aca="false">IF(OR(F830="",F830=0,G830=""),"",G830/F830)</f>
        <v/>
      </c>
      <c r="M830" s="16" t="str">
        <f aca="false">IF(OR(G830="",G830=0,H830=""),"",H830/G830)</f>
        <v/>
      </c>
    </row>
    <row r="831" customFormat="false" ht="15" hidden="false" customHeight="false" outlineLevel="0" collapsed="false">
      <c r="A831" s="12"/>
      <c r="B831" s="6"/>
      <c r="C831" s="13" t="str">
        <f aca="false">IF(B831="","",IFERROR(INDEX(สินค้า!$B$2:$B$101,MATCH(B831,สินค้า!$A$2:$A$101,0)),"ไม่พบรหัส"))</f>
        <v/>
      </c>
      <c r="D831" s="14" t="str">
        <f aca="false">IF(B831="","",IFERROR(INDEX(สินค้า!$D$2:$D$101,MATCH(B831,สินค้า!$A$2:$A$101,0)),""))</f>
        <v/>
      </c>
      <c r="E831" s="6"/>
      <c r="F831" s="8"/>
      <c r="G831" s="8"/>
      <c r="H831" s="8"/>
      <c r="I831" s="15"/>
      <c r="J831" s="15"/>
      <c r="K831" s="10" t="str">
        <f aca="false">IF(J831&lt;&gt;"",J831,IF(I831="","",I831*IFERROR(INDEX(สินค้า!$G$2:$G$101,MATCH(B831,สินค้า!$A$2:$A$101,0)),0)))</f>
        <v/>
      </c>
      <c r="L831" s="16" t="str">
        <f aca="false">IF(OR(F831="",F831=0,G831=""),"",G831/F831)</f>
        <v/>
      </c>
      <c r="M831" s="16" t="str">
        <f aca="false">IF(OR(G831="",G831=0,H831=""),"",H831/G831)</f>
        <v/>
      </c>
    </row>
    <row r="832" customFormat="false" ht="15" hidden="false" customHeight="false" outlineLevel="0" collapsed="false">
      <c r="A832" s="12"/>
      <c r="B832" s="6"/>
      <c r="C832" s="13" t="str">
        <f aca="false">IF(B832="","",IFERROR(INDEX(สินค้า!$B$2:$B$101,MATCH(B832,สินค้า!$A$2:$A$101,0)),"ไม่พบรหัส"))</f>
        <v/>
      </c>
      <c r="D832" s="14" t="str">
        <f aca="false">IF(B832="","",IFERROR(INDEX(สินค้า!$D$2:$D$101,MATCH(B832,สินค้า!$A$2:$A$101,0)),""))</f>
        <v/>
      </c>
      <c r="E832" s="6"/>
      <c r="F832" s="8"/>
      <c r="G832" s="8"/>
      <c r="H832" s="8"/>
      <c r="I832" s="15"/>
      <c r="J832" s="15"/>
      <c r="K832" s="10" t="str">
        <f aca="false">IF(J832&lt;&gt;"",J832,IF(I832="","",I832*IFERROR(INDEX(สินค้า!$G$2:$G$101,MATCH(B832,สินค้า!$A$2:$A$101,0)),0)))</f>
        <v/>
      </c>
      <c r="L832" s="16" t="str">
        <f aca="false">IF(OR(F832="",F832=0,G832=""),"",G832/F832)</f>
        <v/>
      </c>
      <c r="M832" s="16" t="str">
        <f aca="false">IF(OR(G832="",G832=0,H832=""),"",H832/G832)</f>
        <v/>
      </c>
    </row>
    <row r="833" customFormat="false" ht="15" hidden="false" customHeight="false" outlineLevel="0" collapsed="false">
      <c r="A833" s="12"/>
      <c r="B833" s="6"/>
      <c r="C833" s="13" t="str">
        <f aca="false">IF(B833="","",IFERROR(INDEX(สินค้า!$B$2:$B$101,MATCH(B833,สินค้า!$A$2:$A$101,0)),"ไม่พบรหัส"))</f>
        <v/>
      </c>
      <c r="D833" s="14" t="str">
        <f aca="false">IF(B833="","",IFERROR(INDEX(สินค้า!$D$2:$D$101,MATCH(B833,สินค้า!$A$2:$A$101,0)),""))</f>
        <v/>
      </c>
      <c r="E833" s="6"/>
      <c r="F833" s="8"/>
      <c r="G833" s="8"/>
      <c r="H833" s="8"/>
      <c r="I833" s="15"/>
      <c r="J833" s="15"/>
      <c r="K833" s="10" t="str">
        <f aca="false">IF(J833&lt;&gt;"",J833,IF(I833="","",I833*IFERROR(INDEX(สินค้า!$G$2:$G$101,MATCH(B833,สินค้า!$A$2:$A$101,0)),0)))</f>
        <v/>
      </c>
      <c r="L833" s="16" t="str">
        <f aca="false">IF(OR(F833="",F833=0,G833=""),"",G833/F833)</f>
        <v/>
      </c>
      <c r="M833" s="16" t="str">
        <f aca="false">IF(OR(G833="",G833=0,H833=""),"",H833/G833)</f>
        <v/>
      </c>
    </row>
    <row r="834" customFormat="false" ht="15" hidden="false" customHeight="false" outlineLevel="0" collapsed="false">
      <c r="A834" s="12"/>
      <c r="B834" s="6"/>
      <c r="C834" s="13" t="str">
        <f aca="false">IF(B834="","",IFERROR(INDEX(สินค้า!$B$2:$B$101,MATCH(B834,สินค้า!$A$2:$A$101,0)),"ไม่พบรหัส"))</f>
        <v/>
      </c>
      <c r="D834" s="14" t="str">
        <f aca="false">IF(B834="","",IFERROR(INDEX(สินค้า!$D$2:$D$101,MATCH(B834,สินค้า!$A$2:$A$101,0)),""))</f>
        <v/>
      </c>
      <c r="E834" s="6"/>
      <c r="F834" s="8"/>
      <c r="G834" s="8"/>
      <c r="H834" s="8"/>
      <c r="I834" s="15"/>
      <c r="J834" s="15"/>
      <c r="K834" s="10" t="str">
        <f aca="false">IF(J834&lt;&gt;"",J834,IF(I834="","",I834*IFERROR(INDEX(สินค้า!$G$2:$G$101,MATCH(B834,สินค้า!$A$2:$A$101,0)),0)))</f>
        <v/>
      </c>
      <c r="L834" s="16" t="str">
        <f aca="false">IF(OR(F834="",F834=0,G834=""),"",G834/F834)</f>
        <v/>
      </c>
      <c r="M834" s="16" t="str">
        <f aca="false">IF(OR(G834="",G834=0,H834=""),"",H834/G834)</f>
        <v/>
      </c>
    </row>
    <row r="835" customFormat="false" ht="15" hidden="false" customHeight="false" outlineLevel="0" collapsed="false">
      <c r="A835" s="12"/>
      <c r="B835" s="6"/>
      <c r="C835" s="13" t="str">
        <f aca="false">IF(B835="","",IFERROR(INDEX(สินค้า!$B$2:$B$101,MATCH(B835,สินค้า!$A$2:$A$101,0)),"ไม่พบรหัส"))</f>
        <v/>
      </c>
      <c r="D835" s="14" t="str">
        <f aca="false">IF(B835="","",IFERROR(INDEX(สินค้า!$D$2:$D$101,MATCH(B835,สินค้า!$A$2:$A$101,0)),""))</f>
        <v/>
      </c>
      <c r="E835" s="6"/>
      <c r="F835" s="8"/>
      <c r="G835" s="8"/>
      <c r="H835" s="8"/>
      <c r="I835" s="15"/>
      <c r="J835" s="15"/>
      <c r="K835" s="10" t="str">
        <f aca="false">IF(J835&lt;&gt;"",J835,IF(I835="","",I835*IFERROR(INDEX(สินค้า!$G$2:$G$101,MATCH(B835,สินค้า!$A$2:$A$101,0)),0)))</f>
        <v/>
      </c>
      <c r="L835" s="16" t="str">
        <f aca="false">IF(OR(F835="",F835=0,G835=""),"",G835/F835)</f>
        <v/>
      </c>
      <c r="M835" s="16" t="str">
        <f aca="false">IF(OR(G835="",G835=0,H835=""),"",H835/G835)</f>
        <v/>
      </c>
    </row>
    <row r="836" customFormat="false" ht="15" hidden="false" customHeight="false" outlineLevel="0" collapsed="false">
      <c r="A836" s="12"/>
      <c r="B836" s="6"/>
      <c r="C836" s="13" t="str">
        <f aca="false">IF(B836="","",IFERROR(INDEX(สินค้า!$B$2:$B$101,MATCH(B836,สินค้า!$A$2:$A$101,0)),"ไม่พบรหัส"))</f>
        <v/>
      </c>
      <c r="D836" s="14" t="str">
        <f aca="false">IF(B836="","",IFERROR(INDEX(สินค้า!$D$2:$D$101,MATCH(B836,สินค้า!$A$2:$A$101,0)),""))</f>
        <v/>
      </c>
      <c r="E836" s="6"/>
      <c r="F836" s="8"/>
      <c r="G836" s="8"/>
      <c r="H836" s="8"/>
      <c r="I836" s="15"/>
      <c r="J836" s="15"/>
      <c r="K836" s="10" t="str">
        <f aca="false">IF(J836&lt;&gt;"",J836,IF(I836="","",I836*IFERROR(INDEX(สินค้า!$G$2:$G$101,MATCH(B836,สินค้า!$A$2:$A$101,0)),0)))</f>
        <v/>
      </c>
      <c r="L836" s="16" t="str">
        <f aca="false">IF(OR(F836="",F836=0,G836=""),"",G836/F836)</f>
        <v/>
      </c>
      <c r="M836" s="16" t="str">
        <f aca="false">IF(OR(G836="",G836=0,H836=""),"",H836/G836)</f>
        <v/>
      </c>
    </row>
    <row r="837" customFormat="false" ht="15" hidden="false" customHeight="false" outlineLevel="0" collapsed="false">
      <c r="A837" s="12"/>
      <c r="B837" s="6"/>
      <c r="C837" s="13" t="str">
        <f aca="false">IF(B837="","",IFERROR(INDEX(สินค้า!$B$2:$B$101,MATCH(B837,สินค้า!$A$2:$A$101,0)),"ไม่พบรหัส"))</f>
        <v/>
      </c>
      <c r="D837" s="14" t="str">
        <f aca="false">IF(B837="","",IFERROR(INDEX(สินค้า!$D$2:$D$101,MATCH(B837,สินค้า!$A$2:$A$101,0)),""))</f>
        <v/>
      </c>
      <c r="E837" s="6"/>
      <c r="F837" s="8"/>
      <c r="G837" s="8"/>
      <c r="H837" s="8"/>
      <c r="I837" s="15"/>
      <c r="J837" s="15"/>
      <c r="K837" s="10" t="str">
        <f aca="false">IF(J837&lt;&gt;"",J837,IF(I837="","",I837*IFERROR(INDEX(สินค้า!$G$2:$G$101,MATCH(B837,สินค้า!$A$2:$A$101,0)),0)))</f>
        <v/>
      </c>
      <c r="L837" s="16" t="str">
        <f aca="false">IF(OR(F837="",F837=0,G837=""),"",G837/F837)</f>
        <v/>
      </c>
      <c r="M837" s="16" t="str">
        <f aca="false">IF(OR(G837="",G837=0,H837=""),"",H837/G837)</f>
        <v/>
      </c>
    </row>
    <row r="838" customFormat="false" ht="15" hidden="false" customHeight="false" outlineLevel="0" collapsed="false">
      <c r="A838" s="12"/>
      <c r="B838" s="6"/>
      <c r="C838" s="13" t="str">
        <f aca="false">IF(B838="","",IFERROR(INDEX(สินค้า!$B$2:$B$101,MATCH(B838,สินค้า!$A$2:$A$101,0)),"ไม่พบรหัส"))</f>
        <v/>
      </c>
      <c r="D838" s="14" t="str">
        <f aca="false">IF(B838="","",IFERROR(INDEX(สินค้า!$D$2:$D$101,MATCH(B838,สินค้า!$A$2:$A$101,0)),""))</f>
        <v/>
      </c>
      <c r="E838" s="6"/>
      <c r="F838" s="8"/>
      <c r="G838" s="8"/>
      <c r="H838" s="8"/>
      <c r="I838" s="15"/>
      <c r="J838" s="15"/>
      <c r="K838" s="10" t="str">
        <f aca="false">IF(J838&lt;&gt;"",J838,IF(I838="","",I838*IFERROR(INDEX(สินค้า!$G$2:$G$101,MATCH(B838,สินค้า!$A$2:$A$101,0)),0)))</f>
        <v/>
      </c>
      <c r="L838" s="16" t="str">
        <f aca="false">IF(OR(F838="",F838=0,G838=""),"",G838/F838)</f>
        <v/>
      </c>
      <c r="M838" s="16" t="str">
        <f aca="false">IF(OR(G838="",G838=0,H838=""),"",H838/G838)</f>
        <v/>
      </c>
    </row>
    <row r="839" customFormat="false" ht="15" hidden="false" customHeight="false" outlineLevel="0" collapsed="false">
      <c r="A839" s="12"/>
      <c r="B839" s="6"/>
      <c r="C839" s="13" t="str">
        <f aca="false">IF(B839="","",IFERROR(INDEX(สินค้า!$B$2:$B$101,MATCH(B839,สินค้า!$A$2:$A$101,0)),"ไม่พบรหัส"))</f>
        <v/>
      </c>
      <c r="D839" s="14" t="str">
        <f aca="false">IF(B839="","",IFERROR(INDEX(สินค้า!$D$2:$D$101,MATCH(B839,สินค้า!$A$2:$A$101,0)),""))</f>
        <v/>
      </c>
      <c r="E839" s="6"/>
      <c r="F839" s="8"/>
      <c r="G839" s="8"/>
      <c r="H839" s="8"/>
      <c r="I839" s="15"/>
      <c r="J839" s="15"/>
      <c r="K839" s="10" t="str">
        <f aca="false">IF(J839&lt;&gt;"",J839,IF(I839="","",I839*IFERROR(INDEX(สินค้า!$G$2:$G$101,MATCH(B839,สินค้า!$A$2:$A$101,0)),0)))</f>
        <v/>
      </c>
      <c r="L839" s="16" t="str">
        <f aca="false">IF(OR(F839="",F839=0,G839=""),"",G839/F839)</f>
        <v/>
      </c>
      <c r="M839" s="16" t="str">
        <f aca="false">IF(OR(G839="",G839=0,H839=""),"",H839/G839)</f>
        <v/>
      </c>
    </row>
    <row r="840" customFormat="false" ht="15" hidden="false" customHeight="false" outlineLevel="0" collapsed="false">
      <c r="A840" s="12"/>
      <c r="B840" s="6"/>
      <c r="C840" s="13" t="str">
        <f aca="false">IF(B840="","",IFERROR(INDEX(สินค้า!$B$2:$B$101,MATCH(B840,สินค้า!$A$2:$A$101,0)),"ไม่พบรหัส"))</f>
        <v/>
      </c>
      <c r="D840" s="14" t="str">
        <f aca="false">IF(B840="","",IFERROR(INDEX(สินค้า!$D$2:$D$101,MATCH(B840,สินค้า!$A$2:$A$101,0)),""))</f>
        <v/>
      </c>
      <c r="E840" s="6"/>
      <c r="F840" s="8"/>
      <c r="G840" s="8"/>
      <c r="H840" s="8"/>
      <c r="I840" s="15"/>
      <c r="J840" s="15"/>
      <c r="K840" s="10" t="str">
        <f aca="false">IF(J840&lt;&gt;"",J840,IF(I840="","",I840*IFERROR(INDEX(สินค้า!$G$2:$G$101,MATCH(B840,สินค้า!$A$2:$A$101,0)),0)))</f>
        <v/>
      </c>
      <c r="L840" s="16" t="str">
        <f aca="false">IF(OR(F840="",F840=0,G840=""),"",G840/F840)</f>
        <v/>
      </c>
      <c r="M840" s="16" t="str">
        <f aca="false">IF(OR(G840="",G840=0,H840=""),"",H840/G840)</f>
        <v/>
      </c>
    </row>
    <row r="841" customFormat="false" ht="15" hidden="false" customHeight="false" outlineLevel="0" collapsed="false">
      <c r="A841" s="12"/>
      <c r="B841" s="6"/>
      <c r="C841" s="13" t="str">
        <f aca="false">IF(B841="","",IFERROR(INDEX(สินค้า!$B$2:$B$101,MATCH(B841,สินค้า!$A$2:$A$101,0)),"ไม่พบรหัส"))</f>
        <v/>
      </c>
      <c r="D841" s="14" t="str">
        <f aca="false">IF(B841="","",IFERROR(INDEX(สินค้า!$D$2:$D$101,MATCH(B841,สินค้า!$A$2:$A$101,0)),""))</f>
        <v/>
      </c>
      <c r="E841" s="6"/>
      <c r="F841" s="8"/>
      <c r="G841" s="8"/>
      <c r="H841" s="8"/>
      <c r="I841" s="15"/>
      <c r="J841" s="15"/>
      <c r="K841" s="10" t="str">
        <f aca="false">IF(J841&lt;&gt;"",J841,IF(I841="","",I841*IFERROR(INDEX(สินค้า!$G$2:$G$101,MATCH(B841,สินค้า!$A$2:$A$101,0)),0)))</f>
        <v/>
      </c>
      <c r="L841" s="16" t="str">
        <f aca="false">IF(OR(F841="",F841=0,G841=""),"",G841/F841)</f>
        <v/>
      </c>
      <c r="M841" s="16" t="str">
        <f aca="false">IF(OR(G841="",G841=0,H841=""),"",H841/G841)</f>
        <v/>
      </c>
    </row>
    <row r="842" customFormat="false" ht="15" hidden="false" customHeight="false" outlineLevel="0" collapsed="false">
      <c r="A842" s="12"/>
      <c r="B842" s="6"/>
      <c r="C842" s="13" t="str">
        <f aca="false">IF(B842="","",IFERROR(INDEX(สินค้า!$B$2:$B$101,MATCH(B842,สินค้า!$A$2:$A$101,0)),"ไม่พบรหัส"))</f>
        <v/>
      </c>
      <c r="D842" s="14" t="str">
        <f aca="false">IF(B842="","",IFERROR(INDEX(สินค้า!$D$2:$D$101,MATCH(B842,สินค้า!$A$2:$A$101,0)),""))</f>
        <v/>
      </c>
      <c r="E842" s="6"/>
      <c r="F842" s="8"/>
      <c r="G842" s="8"/>
      <c r="H842" s="8"/>
      <c r="I842" s="15"/>
      <c r="J842" s="15"/>
      <c r="K842" s="10" t="str">
        <f aca="false">IF(J842&lt;&gt;"",J842,IF(I842="","",I842*IFERROR(INDEX(สินค้า!$G$2:$G$101,MATCH(B842,สินค้า!$A$2:$A$101,0)),0)))</f>
        <v/>
      </c>
      <c r="L842" s="16" t="str">
        <f aca="false">IF(OR(F842="",F842=0,G842=""),"",G842/F842)</f>
        <v/>
      </c>
      <c r="M842" s="16" t="str">
        <f aca="false">IF(OR(G842="",G842=0,H842=""),"",H842/G842)</f>
        <v/>
      </c>
    </row>
    <row r="843" customFormat="false" ht="15" hidden="false" customHeight="false" outlineLevel="0" collapsed="false">
      <c r="A843" s="12"/>
      <c r="B843" s="6"/>
      <c r="C843" s="13" t="str">
        <f aca="false">IF(B843="","",IFERROR(INDEX(สินค้า!$B$2:$B$101,MATCH(B843,สินค้า!$A$2:$A$101,0)),"ไม่พบรหัส"))</f>
        <v/>
      </c>
      <c r="D843" s="14" t="str">
        <f aca="false">IF(B843="","",IFERROR(INDEX(สินค้า!$D$2:$D$101,MATCH(B843,สินค้า!$A$2:$A$101,0)),""))</f>
        <v/>
      </c>
      <c r="E843" s="6"/>
      <c r="F843" s="8"/>
      <c r="G843" s="8"/>
      <c r="H843" s="8"/>
      <c r="I843" s="15"/>
      <c r="J843" s="15"/>
      <c r="K843" s="10" t="str">
        <f aca="false">IF(J843&lt;&gt;"",J843,IF(I843="","",I843*IFERROR(INDEX(สินค้า!$G$2:$G$101,MATCH(B843,สินค้า!$A$2:$A$101,0)),0)))</f>
        <v/>
      </c>
      <c r="L843" s="16" t="str">
        <f aca="false">IF(OR(F843="",F843=0,G843=""),"",G843/F843)</f>
        <v/>
      </c>
      <c r="M843" s="16" t="str">
        <f aca="false">IF(OR(G843="",G843=0,H843=""),"",H843/G843)</f>
        <v/>
      </c>
    </row>
    <row r="844" customFormat="false" ht="15" hidden="false" customHeight="false" outlineLevel="0" collapsed="false">
      <c r="A844" s="12"/>
      <c r="B844" s="6"/>
      <c r="C844" s="13" t="str">
        <f aca="false">IF(B844="","",IFERROR(INDEX(สินค้า!$B$2:$B$101,MATCH(B844,สินค้า!$A$2:$A$101,0)),"ไม่พบรหัส"))</f>
        <v/>
      </c>
      <c r="D844" s="14" t="str">
        <f aca="false">IF(B844="","",IFERROR(INDEX(สินค้า!$D$2:$D$101,MATCH(B844,สินค้า!$A$2:$A$101,0)),""))</f>
        <v/>
      </c>
      <c r="E844" s="6"/>
      <c r="F844" s="8"/>
      <c r="G844" s="8"/>
      <c r="H844" s="8"/>
      <c r="I844" s="15"/>
      <c r="J844" s="15"/>
      <c r="K844" s="10" t="str">
        <f aca="false">IF(J844&lt;&gt;"",J844,IF(I844="","",I844*IFERROR(INDEX(สินค้า!$G$2:$G$101,MATCH(B844,สินค้า!$A$2:$A$101,0)),0)))</f>
        <v/>
      </c>
      <c r="L844" s="16" t="str">
        <f aca="false">IF(OR(F844="",F844=0,G844=""),"",G844/F844)</f>
        <v/>
      </c>
      <c r="M844" s="16" t="str">
        <f aca="false">IF(OR(G844="",G844=0,H844=""),"",H844/G844)</f>
        <v/>
      </c>
    </row>
    <row r="845" customFormat="false" ht="15" hidden="false" customHeight="false" outlineLevel="0" collapsed="false">
      <c r="A845" s="12"/>
      <c r="B845" s="6"/>
      <c r="C845" s="13" t="str">
        <f aca="false">IF(B845="","",IFERROR(INDEX(สินค้า!$B$2:$B$101,MATCH(B845,สินค้า!$A$2:$A$101,0)),"ไม่พบรหัส"))</f>
        <v/>
      </c>
      <c r="D845" s="14" t="str">
        <f aca="false">IF(B845="","",IFERROR(INDEX(สินค้า!$D$2:$D$101,MATCH(B845,สินค้า!$A$2:$A$101,0)),""))</f>
        <v/>
      </c>
      <c r="E845" s="6"/>
      <c r="F845" s="8"/>
      <c r="G845" s="8"/>
      <c r="H845" s="8"/>
      <c r="I845" s="15"/>
      <c r="J845" s="15"/>
      <c r="K845" s="10" t="str">
        <f aca="false">IF(J845&lt;&gt;"",J845,IF(I845="","",I845*IFERROR(INDEX(สินค้า!$G$2:$G$101,MATCH(B845,สินค้า!$A$2:$A$101,0)),0)))</f>
        <v/>
      </c>
      <c r="L845" s="16" t="str">
        <f aca="false">IF(OR(F845="",F845=0,G845=""),"",G845/F845)</f>
        <v/>
      </c>
      <c r="M845" s="16" t="str">
        <f aca="false">IF(OR(G845="",G845=0,H845=""),"",H845/G845)</f>
        <v/>
      </c>
    </row>
    <row r="846" customFormat="false" ht="15" hidden="false" customHeight="false" outlineLevel="0" collapsed="false">
      <c r="A846" s="12"/>
      <c r="B846" s="6"/>
      <c r="C846" s="13" t="str">
        <f aca="false">IF(B846="","",IFERROR(INDEX(สินค้า!$B$2:$B$101,MATCH(B846,สินค้า!$A$2:$A$101,0)),"ไม่พบรหัส"))</f>
        <v/>
      </c>
      <c r="D846" s="14" t="str">
        <f aca="false">IF(B846="","",IFERROR(INDEX(สินค้า!$D$2:$D$101,MATCH(B846,สินค้า!$A$2:$A$101,0)),""))</f>
        <v/>
      </c>
      <c r="E846" s="6"/>
      <c r="F846" s="8"/>
      <c r="G846" s="8"/>
      <c r="H846" s="8"/>
      <c r="I846" s="15"/>
      <c r="J846" s="15"/>
      <c r="K846" s="10" t="str">
        <f aca="false">IF(J846&lt;&gt;"",J846,IF(I846="","",I846*IFERROR(INDEX(สินค้า!$G$2:$G$101,MATCH(B846,สินค้า!$A$2:$A$101,0)),0)))</f>
        <v/>
      </c>
      <c r="L846" s="16" t="str">
        <f aca="false">IF(OR(F846="",F846=0,G846=""),"",G846/F846)</f>
        <v/>
      </c>
      <c r="M846" s="16" t="str">
        <f aca="false">IF(OR(G846="",G846=0,H846=""),"",H846/G846)</f>
        <v/>
      </c>
    </row>
    <row r="847" customFormat="false" ht="15" hidden="false" customHeight="false" outlineLevel="0" collapsed="false">
      <c r="A847" s="12"/>
      <c r="B847" s="6"/>
      <c r="C847" s="13" t="str">
        <f aca="false">IF(B847="","",IFERROR(INDEX(สินค้า!$B$2:$B$101,MATCH(B847,สินค้า!$A$2:$A$101,0)),"ไม่พบรหัส"))</f>
        <v/>
      </c>
      <c r="D847" s="14" t="str">
        <f aca="false">IF(B847="","",IFERROR(INDEX(สินค้า!$D$2:$D$101,MATCH(B847,สินค้า!$A$2:$A$101,0)),""))</f>
        <v/>
      </c>
      <c r="E847" s="6"/>
      <c r="F847" s="8"/>
      <c r="G847" s="8"/>
      <c r="H847" s="8"/>
      <c r="I847" s="15"/>
      <c r="J847" s="15"/>
      <c r="K847" s="10" t="str">
        <f aca="false">IF(J847&lt;&gt;"",J847,IF(I847="","",I847*IFERROR(INDEX(สินค้า!$G$2:$G$101,MATCH(B847,สินค้า!$A$2:$A$101,0)),0)))</f>
        <v/>
      </c>
      <c r="L847" s="16" t="str">
        <f aca="false">IF(OR(F847="",F847=0,G847=""),"",G847/F847)</f>
        <v/>
      </c>
      <c r="M847" s="16" t="str">
        <f aca="false">IF(OR(G847="",G847=0,H847=""),"",H847/G847)</f>
        <v/>
      </c>
    </row>
    <row r="848" customFormat="false" ht="15" hidden="false" customHeight="false" outlineLevel="0" collapsed="false">
      <c r="A848" s="12"/>
      <c r="B848" s="6"/>
      <c r="C848" s="13" t="str">
        <f aca="false">IF(B848="","",IFERROR(INDEX(สินค้า!$B$2:$B$101,MATCH(B848,สินค้า!$A$2:$A$101,0)),"ไม่พบรหัส"))</f>
        <v/>
      </c>
      <c r="D848" s="14" t="str">
        <f aca="false">IF(B848="","",IFERROR(INDEX(สินค้า!$D$2:$D$101,MATCH(B848,สินค้า!$A$2:$A$101,0)),""))</f>
        <v/>
      </c>
      <c r="E848" s="6"/>
      <c r="F848" s="8"/>
      <c r="G848" s="8"/>
      <c r="H848" s="8"/>
      <c r="I848" s="15"/>
      <c r="J848" s="15"/>
      <c r="K848" s="10" t="str">
        <f aca="false">IF(J848&lt;&gt;"",J848,IF(I848="","",I848*IFERROR(INDEX(สินค้า!$G$2:$G$101,MATCH(B848,สินค้า!$A$2:$A$101,0)),0)))</f>
        <v/>
      </c>
      <c r="L848" s="16" t="str">
        <f aca="false">IF(OR(F848="",F848=0,G848=""),"",G848/F848)</f>
        <v/>
      </c>
      <c r="M848" s="16" t="str">
        <f aca="false">IF(OR(G848="",G848=0,H848=""),"",H848/G848)</f>
        <v/>
      </c>
    </row>
    <row r="849" customFormat="false" ht="15" hidden="false" customHeight="false" outlineLevel="0" collapsed="false">
      <c r="A849" s="12"/>
      <c r="B849" s="6"/>
      <c r="C849" s="13" t="str">
        <f aca="false">IF(B849="","",IFERROR(INDEX(สินค้า!$B$2:$B$101,MATCH(B849,สินค้า!$A$2:$A$101,0)),"ไม่พบรหัส"))</f>
        <v/>
      </c>
      <c r="D849" s="14" t="str">
        <f aca="false">IF(B849="","",IFERROR(INDEX(สินค้า!$D$2:$D$101,MATCH(B849,สินค้า!$A$2:$A$101,0)),""))</f>
        <v/>
      </c>
      <c r="E849" s="6"/>
      <c r="F849" s="8"/>
      <c r="G849" s="8"/>
      <c r="H849" s="8"/>
      <c r="I849" s="15"/>
      <c r="J849" s="15"/>
      <c r="K849" s="10" t="str">
        <f aca="false">IF(J849&lt;&gt;"",J849,IF(I849="","",I849*IFERROR(INDEX(สินค้า!$G$2:$G$101,MATCH(B849,สินค้า!$A$2:$A$101,0)),0)))</f>
        <v/>
      </c>
      <c r="L849" s="16" t="str">
        <f aca="false">IF(OR(F849="",F849=0,G849=""),"",G849/F849)</f>
        <v/>
      </c>
      <c r="M849" s="16" t="str">
        <f aca="false">IF(OR(G849="",G849=0,H849=""),"",H849/G849)</f>
        <v/>
      </c>
    </row>
    <row r="850" customFormat="false" ht="15" hidden="false" customHeight="false" outlineLevel="0" collapsed="false">
      <c r="A850" s="12"/>
      <c r="B850" s="6"/>
      <c r="C850" s="13" t="str">
        <f aca="false">IF(B850="","",IFERROR(INDEX(สินค้า!$B$2:$B$101,MATCH(B850,สินค้า!$A$2:$A$101,0)),"ไม่พบรหัส"))</f>
        <v/>
      </c>
      <c r="D850" s="14" t="str">
        <f aca="false">IF(B850="","",IFERROR(INDEX(สินค้า!$D$2:$D$101,MATCH(B850,สินค้า!$A$2:$A$101,0)),""))</f>
        <v/>
      </c>
      <c r="E850" s="6"/>
      <c r="F850" s="8"/>
      <c r="G850" s="8"/>
      <c r="H850" s="8"/>
      <c r="I850" s="15"/>
      <c r="J850" s="15"/>
      <c r="K850" s="10" t="str">
        <f aca="false">IF(J850&lt;&gt;"",J850,IF(I850="","",I850*IFERROR(INDEX(สินค้า!$G$2:$G$101,MATCH(B850,สินค้า!$A$2:$A$101,0)),0)))</f>
        <v/>
      </c>
      <c r="L850" s="16" t="str">
        <f aca="false">IF(OR(F850="",F850=0,G850=""),"",G850/F850)</f>
        <v/>
      </c>
      <c r="M850" s="16" t="str">
        <f aca="false">IF(OR(G850="",G850=0,H850=""),"",H850/G850)</f>
        <v/>
      </c>
    </row>
    <row r="851" customFormat="false" ht="15" hidden="false" customHeight="false" outlineLevel="0" collapsed="false">
      <c r="A851" s="12"/>
      <c r="B851" s="6"/>
      <c r="C851" s="13" t="str">
        <f aca="false">IF(B851="","",IFERROR(INDEX(สินค้า!$B$2:$B$101,MATCH(B851,สินค้า!$A$2:$A$101,0)),"ไม่พบรหัส"))</f>
        <v/>
      </c>
      <c r="D851" s="14" t="str">
        <f aca="false">IF(B851="","",IFERROR(INDEX(สินค้า!$D$2:$D$101,MATCH(B851,สินค้า!$A$2:$A$101,0)),""))</f>
        <v/>
      </c>
      <c r="E851" s="6"/>
      <c r="F851" s="8"/>
      <c r="G851" s="8"/>
      <c r="H851" s="8"/>
      <c r="I851" s="15"/>
      <c r="J851" s="15"/>
      <c r="K851" s="10" t="str">
        <f aca="false">IF(J851&lt;&gt;"",J851,IF(I851="","",I851*IFERROR(INDEX(สินค้า!$G$2:$G$101,MATCH(B851,สินค้า!$A$2:$A$101,0)),0)))</f>
        <v/>
      </c>
      <c r="L851" s="16" t="str">
        <f aca="false">IF(OR(F851="",F851=0,G851=""),"",G851/F851)</f>
        <v/>
      </c>
      <c r="M851" s="16" t="str">
        <f aca="false">IF(OR(G851="",G851=0,H851=""),"",H851/G851)</f>
        <v/>
      </c>
    </row>
    <row r="852" customFormat="false" ht="15" hidden="false" customHeight="false" outlineLevel="0" collapsed="false">
      <c r="A852" s="12"/>
      <c r="B852" s="6"/>
      <c r="C852" s="13" t="str">
        <f aca="false">IF(B852="","",IFERROR(INDEX(สินค้า!$B$2:$B$101,MATCH(B852,สินค้า!$A$2:$A$101,0)),"ไม่พบรหัส"))</f>
        <v/>
      </c>
      <c r="D852" s="14" t="str">
        <f aca="false">IF(B852="","",IFERROR(INDEX(สินค้า!$D$2:$D$101,MATCH(B852,สินค้า!$A$2:$A$101,0)),""))</f>
        <v/>
      </c>
      <c r="E852" s="6"/>
      <c r="F852" s="8"/>
      <c r="G852" s="8"/>
      <c r="H852" s="8"/>
      <c r="I852" s="15"/>
      <c r="J852" s="15"/>
      <c r="K852" s="10" t="str">
        <f aca="false">IF(J852&lt;&gt;"",J852,IF(I852="","",I852*IFERROR(INDEX(สินค้า!$G$2:$G$101,MATCH(B852,สินค้า!$A$2:$A$101,0)),0)))</f>
        <v/>
      </c>
      <c r="L852" s="16" t="str">
        <f aca="false">IF(OR(F852="",F852=0,G852=""),"",G852/F852)</f>
        <v/>
      </c>
      <c r="M852" s="16" t="str">
        <f aca="false">IF(OR(G852="",G852=0,H852=""),"",H852/G852)</f>
        <v/>
      </c>
    </row>
    <row r="853" customFormat="false" ht="15" hidden="false" customHeight="false" outlineLevel="0" collapsed="false">
      <c r="A853" s="12"/>
      <c r="B853" s="6"/>
      <c r="C853" s="13" t="str">
        <f aca="false">IF(B853="","",IFERROR(INDEX(สินค้า!$B$2:$B$101,MATCH(B853,สินค้า!$A$2:$A$101,0)),"ไม่พบรหัส"))</f>
        <v/>
      </c>
      <c r="D853" s="14" t="str">
        <f aca="false">IF(B853="","",IFERROR(INDEX(สินค้า!$D$2:$D$101,MATCH(B853,สินค้า!$A$2:$A$101,0)),""))</f>
        <v/>
      </c>
      <c r="E853" s="6"/>
      <c r="F853" s="8"/>
      <c r="G853" s="8"/>
      <c r="H853" s="8"/>
      <c r="I853" s="15"/>
      <c r="J853" s="15"/>
      <c r="K853" s="10" t="str">
        <f aca="false">IF(J853&lt;&gt;"",J853,IF(I853="","",I853*IFERROR(INDEX(สินค้า!$G$2:$G$101,MATCH(B853,สินค้า!$A$2:$A$101,0)),0)))</f>
        <v/>
      </c>
      <c r="L853" s="16" t="str">
        <f aca="false">IF(OR(F853="",F853=0,G853=""),"",G853/F853)</f>
        <v/>
      </c>
      <c r="M853" s="16" t="str">
        <f aca="false">IF(OR(G853="",G853=0,H853=""),"",H853/G853)</f>
        <v/>
      </c>
    </row>
    <row r="854" customFormat="false" ht="15" hidden="false" customHeight="false" outlineLevel="0" collapsed="false">
      <c r="A854" s="12"/>
      <c r="B854" s="6"/>
      <c r="C854" s="13" t="str">
        <f aca="false">IF(B854="","",IFERROR(INDEX(สินค้า!$B$2:$B$101,MATCH(B854,สินค้า!$A$2:$A$101,0)),"ไม่พบรหัส"))</f>
        <v/>
      </c>
      <c r="D854" s="14" t="str">
        <f aca="false">IF(B854="","",IFERROR(INDEX(สินค้า!$D$2:$D$101,MATCH(B854,สินค้า!$A$2:$A$101,0)),""))</f>
        <v/>
      </c>
      <c r="E854" s="6"/>
      <c r="F854" s="8"/>
      <c r="G854" s="8"/>
      <c r="H854" s="8"/>
      <c r="I854" s="15"/>
      <c r="J854" s="15"/>
      <c r="K854" s="10" t="str">
        <f aca="false">IF(J854&lt;&gt;"",J854,IF(I854="","",I854*IFERROR(INDEX(สินค้า!$G$2:$G$101,MATCH(B854,สินค้า!$A$2:$A$101,0)),0)))</f>
        <v/>
      </c>
      <c r="L854" s="16" t="str">
        <f aca="false">IF(OR(F854="",F854=0,G854=""),"",G854/F854)</f>
        <v/>
      </c>
      <c r="M854" s="16" t="str">
        <f aca="false">IF(OR(G854="",G854=0,H854=""),"",H854/G854)</f>
        <v/>
      </c>
    </row>
    <row r="855" customFormat="false" ht="15" hidden="false" customHeight="false" outlineLevel="0" collapsed="false">
      <c r="A855" s="12"/>
      <c r="B855" s="6"/>
      <c r="C855" s="13" t="str">
        <f aca="false">IF(B855="","",IFERROR(INDEX(สินค้า!$B$2:$B$101,MATCH(B855,สินค้า!$A$2:$A$101,0)),"ไม่พบรหัส"))</f>
        <v/>
      </c>
      <c r="D855" s="14" t="str">
        <f aca="false">IF(B855="","",IFERROR(INDEX(สินค้า!$D$2:$D$101,MATCH(B855,สินค้า!$A$2:$A$101,0)),""))</f>
        <v/>
      </c>
      <c r="E855" s="6"/>
      <c r="F855" s="8"/>
      <c r="G855" s="8"/>
      <c r="H855" s="8"/>
      <c r="I855" s="15"/>
      <c r="J855" s="15"/>
      <c r="K855" s="10" t="str">
        <f aca="false">IF(J855&lt;&gt;"",J855,IF(I855="","",I855*IFERROR(INDEX(สินค้า!$G$2:$G$101,MATCH(B855,สินค้า!$A$2:$A$101,0)),0)))</f>
        <v/>
      </c>
      <c r="L855" s="16" t="str">
        <f aca="false">IF(OR(F855="",F855=0,G855=""),"",G855/F855)</f>
        <v/>
      </c>
      <c r="M855" s="16" t="str">
        <f aca="false">IF(OR(G855="",G855=0,H855=""),"",H855/G855)</f>
        <v/>
      </c>
    </row>
    <row r="856" customFormat="false" ht="15" hidden="false" customHeight="false" outlineLevel="0" collapsed="false">
      <c r="A856" s="12"/>
      <c r="B856" s="6"/>
      <c r="C856" s="13" t="str">
        <f aca="false">IF(B856="","",IFERROR(INDEX(สินค้า!$B$2:$B$101,MATCH(B856,สินค้า!$A$2:$A$101,0)),"ไม่พบรหัส"))</f>
        <v/>
      </c>
      <c r="D856" s="14" t="str">
        <f aca="false">IF(B856="","",IFERROR(INDEX(สินค้า!$D$2:$D$101,MATCH(B856,สินค้า!$A$2:$A$101,0)),""))</f>
        <v/>
      </c>
      <c r="E856" s="6"/>
      <c r="F856" s="8"/>
      <c r="G856" s="8"/>
      <c r="H856" s="8"/>
      <c r="I856" s="15"/>
      <c r="J856" s="15"/>
      <c r="K856" s="10" t="str">
        <f aca="false">IF(J856&lt;&gt;"",J856,IF(I856="","",I856*IFERROR(INDEX(สินค้า!$G$2:$G$101,MATCH(B856,สินค้า!$A$2:$A$101,0)),0)))</f>
        <v/>
      </c>
      <c r="L856" s="16" t="str">
        <f aca="false">IF(OR(F856="",F856=0,G856=""),"",G856/F856)</f>
        <v/>
      </c>
      <c r="M856" s="16" t="str">
        <f aca="false">IF(OR(G856="",G856=0,H856=""),"",H856/G856)</f>
        <v/>
      </c>
    </row>
    <row r="857" customFormat="false" ht="15" hidden="false" customHeight="false" outlineLevel="0" collapsed="false">
      <c r="A857" s="12"/>
      <c r="B857" s="6"/>
      <c r="C857" s="13" t="str">
        <f aca="false">IF(B857="","",IFERROR(INDEX(สินค้า!$B$2:$B$101,MATCH(B857,สินค้า!$A$2:$A$101,0)),"ไม่พบรหัส"))</f>
        <v/>
      </c>
      <c r="D857" s="14" t="str">
        <f aca="false">IF(B857="","",IFERROR(INDEX(สินค้า!$D$2:$D$101,MATCH(B857,สินค้า!$A$2:$A$101,0)),""))</f>
        <v/>
      </c>
      <c r="E857" s="6"/>
      <c r="F857" s="8"/>
      <c r="G857" s="8"/>
      <c r="H857" s="8"/>
      <c r="I857" s="15"/>
      <c r="J857" s="15"/>
      <c r="K857" s="10" t="str">
        <f aca="false">IF(J857&lt;&gt;"",J857,IF(I857="","",I857*IFERROR(INDEX(สินค้า!$G$2:$G$101,MATCH(B857,สินค้า!$A$2:$A$101,0)),0)))</f>
        <v/>
      </c>
      <c r="L857" s="16" t="str">
        <f aca="false">IF(OR(F857="",F857=0,G857=""),"",G857/F857)</f>
        <v/>
      </c>
      <c r="M857" s="16" t="str">
        <f aca="false">IF(OR(G857="",G857=0,H857=""),"",H857/G857)</f>
        <v/>
      </c>
    </row>
    <row r="858" customFormat="false" ht="15" hidden="false" customHeight="false" outlineLevel="0" collapsed="false">
      <c r="A858" s="12"/>
      <c r="B858" s="6"/>
      <c r="C858" s="13" t="str">
        <f aca="false">IF(B858="","",IFERROR(INDEX(สินค้า!$B$2:$B$101,MATCH(B858,สินค้า!$A$2:$A$101,0)),"ไม่พบรหัส"))</f>
        <v/>
      </c>
      <c r="D858" s="14" t="str">
        <f aca="false">IF(B858="","",IFERROR(INDEX(สินค้า!$D$2:$D$101,MATCH(B858,สินค้า!$A$2:$A$101,0)),""))</f>
        <v/>
      </c>
      <c r="E858" s="6"/>
      <c r="F858" s="8"/>
      <c r="G858" s="8"/>
      <c r="H858" s="8"/>
      <c r="I858" s="15"/>
      <c r="J858" s="15"/>
      <c r="K858" s="10" t="str">
        <f aca="false">IF(J858&lt;&gt;"",J858,IF(I858="","",I858*IFERROR(INDEX(สินค้า!$G$2:$G$101,MATCH(B858,สินค้า!$A$2:$A$101,0)),0)))</f>
        <v/>
      </c>
      <c r="L858" s="16" t="str">
        <f aca="false">IF(OR(F858="",F858=0,G858=""),"",G858/F858)</f>
        <v/>
      </c>
      <c r="M858" s="16" t="str">
        <f aca="false">IF(OR(G858="",G858=0,H858=""),"",H858/G858)</f>
        <v/>
      </c>
    </row>
    <row r="859" customFormat="false" ht="15" hidden="false" customHeight="false" outlineLevel="0" collapsed="false">
      <c r="A859" s="12"/>
      <c r="B859" s="6"/>
      <c r="C859" s="13" t="str">
        <f aca="false">IF(B859="","",IFERROR(INDEX(สินค้า!$B$2:$B$101,MATCH(B859,สินค้า!$A$2:$A$101,0)),"ไม่พบรหัส"))</f>
        <v/>
      </c>
      <c r="D859" s="14" t="str">
        <f aca="false">IF(B859="","",IFERROR(INDEX(สินค้า!$D$2:$D$101,MATCH(B859,สินค้า!$A$2:$A$101,0)),""))</f>
        <v/>
      </c>
      <c r="E859" s="6"/>
      <c r="F859" s="8"/>
      <c r="G859" s="8"/>
      <c r="H859" s="8"/>
      <c r="I859" s="15"/>
      <c r="J859" s="15"/>
      <c r="K859" s="10" t="str">
        <f aca="false">IF(J859&lt;&gt;"",J859,IF(I859="","",I859*IFERROR(INDEX(สินค้า!$G$2:$G$101,MATCH(B859,สินค้า!$A$2:$A$101,0)),0)))</f>
        <v/>
      </c>
      <c r="L859" s="16" t="str">
        <f aca="false">IF(OR(F859="",F859=0,G859=""),"",G859/F859)</f>
        <v/>
      </c>
      <c r="M859" s="16" t="str">
        <f aca="false">IF(OR(G859="",G859=0,H859=""),"",H859/G859)</f>
        <v/>
      </c>
    </row>
    <row r="860" customFormat="false" ht="15" hidden="false" customHeight="false" outlineLevel="0" collapsed="false">
      <c r="A860" s="12"/>
      <c r="B860" s="6"/>
      <c r="C860" s="13" t="str">
        <f aca="false">IF(B860="","",IFERROR(INDEX(สินค้า!$B$2:$B$101,MATCH(B860,สินค้า!$A$2:$A$101,0)),"ไม่พบรหัส"))</f>
        <v/>
      </c>
      <c r="D860" s="14" t="str">
        <f aca="false">IF(B860="","",IFERROR(INDEX(สินค้า!$D$2:$D$101,MATCH(B860,สินค้า!$A$2:$A$101,0)),""))</f>
        <v/>
      </c>
      <c r="E860" s="6"/>
      <c r="F860" s="8"/>
      <c r="G860" s="8"/>
      <c r="H860" s="8"/>
      <c r="I860" s="15"/>
      <c r="J860" s="15"/>
      <c r="K860" s="10" t="str">
        <f aca="false">IF(J860&lt;&gt;"",J860,IF(I860="","",I860*IFERROR(INDEX(สินค้า!$G$2:$G$101,MATCH(B860,สินค้า!$A$2:$A$101,0)),0)))</f>
        <v/>
      </c>
      <c r="L860" s="16" t="str">
        <f aca="false">IF(OR(F860="",F860=0,G860=""),"",G860/F860)</f>
        <v/>
      </c>
      <c r="M860" s="16" t="str">
        <f aca="false">IF(OR(G860="",G860=0,H860=""),"",H860/G860)</f>
        <v/>
      </c>
    </row>
    <row r="861" customFormat="false" ht="15" hidden="false" customHeight="false" outlineLevel="0" collapsed="false">
      <c r="A861" s="12"/>
      <c r="B861" s="6"/>
      <c r="C861" s="13" t="str">
        <f aca="false">IF(B861="","",IFERROR(INDEX(สินค้า!$B$2:$B$101,MATCH(B861,สินค้า!$A$2:$A$101,0)),"ไม่พบรหัส"))</f>
        <v/>
      </c>
      <c r="D861" s="14" t="str">
        <f aca="false">IF(B861="","",IFERROR(INDEX(สินค้า!$D$2:$D$101,MATCH(B861,สินค้า!$A$2:$A$101,0)),""))</f>
        <v/>
      </c>
      <c r="E861" s="6"/>
      <c r="F861" s="8"/>
      <c r="G861" s="8"/>
      <c r="H861" s="8"/>
      <c r="I861" s="15"/>
      <c r="J861" s="15"/>
      <c r="K861" s="10" t="str">
        <f aca="false">IF(J861&lt;&gt;"",J861,IF(I861="","",I861*IFERROR(INDEX(สินค้า!$G$2:$G$101,MATCH(B861,สินค้า!$A$2:$A$101,0)),0)))</f>
        <v/>
      </c>
      <c r="L861" s="16" t="str">
        <f aca="false">IF(OR(F861="",F861=0,G861=""),"",G861/F861)</f>
        <v/>
      </c>
      <c r="M861" s="16" t="str">
        <f aca="false">IF(OR(G861="",G861=0,H861=""),"",H861/G861)</f>
        <v/>
      </c>
    </row>
    <row r="862" customFormat="false" ht="15" hidden="false" customHeight="false" outlineLevel="0" collapsed="false">
      <c r="A862" s="12"/>
      <c r="B862" s="6"/>
      <c r="C862" s="13" t="str">
        <f aca="false">IF(B862="","",IFERROR(INDEX(สินค้า!$B$2:$B$101,MATCH(B862,สินค้า!$A$2:$A$101,0)),"ไม่พบรหัส"))</f>
        <v/>
      </c>
      <c r="D862" s="14" t="str">
        <f aca="false">IF(B862="","",IFERROR(INDEX(สินค้า!$D$2:$D$101,MATCH(B862,สินค้า!$A$2:$A$101,0)),""))</f>
        <v/>
      </c>
      <c r="E862" s="6"/>
      <c r="F862" s="8"/>
      <c r="G862" s="8"/>
      <c r="H862" s="8"/>
      <c r="I862" s="15"/>
      <c r="J862" s="15"/>
      <c r="K862" s="10" t="str">
        <f aca="false">IF(J862&lt;&gt;"",J862,IF(I862="","",I862*IFERROR(INDEX(สินค้า!$G$2:$G$101,MATCH(B862,สินค้า!$A$2:$A$101,0)),0)))</f>
        <v/>
      </c>
      <c r="L862" s="16" t="str">
        <f aca="false">IF(OR(F862="",F862=0,G862=""),"",G862/F862)</f>
        <v/>
      </c>
      <c r="M862" s="16" t="str">
        <f aca="false">IF(OR(G862="",G862=0,H862=""),"",H862/G862)</f>
        <v/>
      </c>
    </row>
    <row r="863" customFormat="false" ht="15" hidden="false" customHeight="false" outlineLevel="0" collapsed="false">
      <c r="A863" s="12"/>
      <c r="B863" s="6"/>
      <c r="C863" s="13" t="str">
        <f aca="false">IF(B863="","",IFERROR(INDEX(สินค้า!$B$2:$B$101,MATCH(B863,สินค้า!$A$2:$A$101,0)),"ไม่พบรหัส"))</f>
        <v/>
      </c>
      <c r="D863" s="14" t="str">
        <f aca="false">IF(B863="","",IFERROR(INDEX(สินค้า!$D$2:$D$101,MATCH(B863,สินค้า!$A$2:$A$101,0)),""))</f>
        <v/>
      </c>
      <c r="E863" s="6"/>
      <c r="F863" s="8"/>
      <c r="G863" s="8"/>
      <c r="H863" s="8"/>
      <c r="I863" s="15"/>
      <c r="J863" s="15"/>
      <c r="K863" s="10" t="str">
        <f aca="false">IF(J863&lt;&gt;"",J863,IF(I863="","",I863*IFERROR(INDEX(สินค้า!$G$2:$G$101,MATCH(B863,สินค้า!$A$2:$A$101,0)),0)))</f>
        <v/>
      </c>
      <c r="L863" s="16" t="str">
        <f aca="false">IF(OR(F863="",F863=0,G863=""),"",G863/F863)</f>
        <v/>
      </c>
      <c r="M863" s="16" t="str">
        <f aca="false">IF(OR(G863="",G863=0,H863=""),"",H863/G863)</f>
        <v/>
      </c>
    </row>
    <row r="864" customFormat="false" ht="15" hidden="false" customHeight="false" outlineLevel="0" collapsed="false">
      <c r="A864" s="12"/>
      <c r="B864" s="6"/>
      <c r="C864" s="13" t="str">
        <f aca="false">IF(B864="","",IFERROR(INDEX(สินค้า!$B$2:$B$101,MATCH(B864,สินค้า!$A$2:$A$101,0)),"ไม่พบรหัส"))</f>
        <v/>
      </c>
      <c r="D864" s="14" t="str">
        <f aca="false">IF(B864="","",IFERROR(INDEX(สินค้า!$D$2:$D$101,MATCH(B864,สินค้า!$A$2:$A$101,0)),""))</f>
        <v/>
      </c>
      <c r="E864" s="6"/>
      <c r="F864" s="8"/>
      <c r="G864" s="8"/>
      <c r="H864" s="8"/>
      <c r="I864" s="15"/>
      <c r="J864" s="15"/>
      <c r="K864" s="10" t="str">
        <f aca="false">IF(J864&lt;&gt;"",J864,IF(I864="","",I864*IFERROR(INDEX(สินค้า!$G$2:$G$101,MATCH(B864,สินค้า!$A$2:$A$101,0)),0)))</f>
        <v/>
      </c>
      <c r="L864" s="16" t="str">
        <f aca="false">IF(OR(F864="",F864=0,G864=""),"",G864/F864)</f>
        <v/>
      </c>
      <c r="M864" s="16" t="str">
        <f aca="false">IF(OR(G864="",G864=0,H864=""),"",H864/G864)</f>
        <v/>
      </c>
    </row>
    <row r="865" customFormat="false" ht="15" hidden="false" customHeight="false" outlineLevel="0" collapsed="false">
      <c r="A865" s="12"/>
      <c r="B865" s="6"/>
      <c r="C865" s="13" t="str">
        <f aca="false">IF(B865="","",IFERROR(INDEX(สินค้า!$B$2:$B$101,MATCH(B865,สินค้า!$A$2:$A$101,0)),"ไม่พบรหัส"))</f>
        <v/>
      </c>
      <c r="D865" s="14" t="str">
        <f aca="false">IF(B865="","",IFERROR(INDEX(สินค้า!$D$2:$D$101,MATCH(B865,สินค้า!$A$2:$A$101,0)),""))</f>
        <v/>
      </c>
      <c r="E865" s="6"/>
      <c r="F865" s="8"/>
      <c r="G865" s="8"/>
      <c r="H865" s="8"/>
      <c r="I865" s="15"/>
      <c r="J865" s="15"/>
      <c r="K865" s="10" t="str">
        <f aca="false">IF(J865&lt;&gt;"",J865,IF(I865="","",I865*IFERROR(INDEX(สินค้า!$G$2:$G$101,MATCH(B865,สินค้า!$A$2:$A$101,0)),0)))</f>
        <v/>
      </c>
      <c r="L865" s="16" t="str">
        <f aca="false">IF(OR(F865="",F865=0,G865=""),"",G865/F865)</f>
        <v/>
      </c>
      <c r="M865" s="16" t="str">
        <f aca="false">IF(OR(G865="",G865=0,H865=""),"",H865/G865)</f>
        <v/>
      </c>
    </row>
    <row r="866" customFormat="false" ht="15" hidden="false" customHeight="false" outlineLevel="0" collapsed="false">
      <c r="A866" s="12"/>
      <c r="B866" s="6"/>
      <c r="C866" s="13" t="str">
        <f aca="false">IF(B866="","",IFERROR(INDEX(สินค้า!$B$2:$B$101,MATCH(B866,สินค้า!$A$2:$A$101,0)),"ไม่พบรหัส"))</f>
        <v/>
      </c>
      <c r="D866" s="14" t="str">
        <f aca="false">IF(B866="","",IFERROR(INDEX(สินค้า!$D$2:$D$101,MATCH(B866,สินค้า!$A$2:$A$101,0)),""))</f>
        <v/>
      </c>
      <c r="E866" s="6"/>
      <c r="F866" s="8"/>
      <c r="G866" s="8"/>
      <c r="H866" s="8"/>
      <c r="I866" s="15"/>
      <c r="J866" s="15"/>
      <c r="K866" s="10" t="str">
        <f aca="false">IF(J866&lt;&gt;"",J866,IF(I866="","",I866*IFERROR(INDEX(สินค้า!$G$2:$G$101,MATCH(B866,สินค้า!$A$2:$A$101,0)),0)))</f>
        <v/>
      </c>
      <c r="L866" s="16" t="str">
        <f aca="false">IF(OR(F866="",F866=0,G866=""),"",G866/F866)</f>
        <v/>
      </c>
      <c r="M866" s="16" t="str">
        <f aca="false">IF(OR(G866="",G866=0,H866=""),"",H866/G866)</f>
        <v/>
      </c>
    </row>
    <row r="867" customFormat="false" ht="15" hidden="false" customHeight="false" outlineLevel="0" collapsed="false">
      <c r="A867" s="12"/>
      <c r="B867" s="6"/>
      <c r="C867" s="13" t="str">
        <f aca="false">IF(B867="","",IFERROR(INDEX(สินค้า!$B$2:$B$101,MATCH(B867,สินค้า!$A$2:$A$101,0)),"ไม่พบรหัส"))</f>
        <v/>
      </c>
      <c r="D867" s="14" t="str">
        <f aca="false">IF(B867="","",IFERROR(INDEX(สินค้า!$D$2:$D$101,MATCH(B867,สินค้า!$A$2:$A$101,0)),""))</f>
        <v/>
      </c>
      <c r="E867" s="6"/>
      <c r="F867" s="8"/>
      <c r="G867" s="8"/>
      <c r="H867" s="8"/>
      <c r="I867" s="15"/>
      <c r="J867" s="15"/>
      <c r="K867" s="10" t="str">
        <f aca="false">IF(J867&lt;&gt;"",J867,IF(I867="","",I867*IFERROR(INDEX(สินค้า!$G$2:$G$101,MATCH(B867,สินค้า!$A$2:$A$101,0)),0)))</f>
        <v/>
      </c>
      <c r="L867" s="16" t="str">
        <f aca="false">IF(OR(F867="",F867=0,G867=""),"",G867/F867)</f>
        <v/>
      </c>
      <c r="M867" s="16" t="str">
        <f aca="false">IF(OR(G867="",G867=0,H867=""),"",H867/G867)</f>
        <v/>
      </c>
    </row>
    <row r="868" customFormat="false" ht="15" hidden="false" customHeight="false" outlineLevel="0" collapsed="false">
      <c r="A868" s="12"/>
      <c r="B868" s="6"/>
      <c r="C868" s="13" t="str">
        <f aca="false">IF(B868="","",IFERROR(INDEX(สินค้า!$B$2:$B$101,MATCH(B868,สินค้า!$A$2:$A$101,0)),"ไม่พบรหัส"))</f>
        <v/>
      </c>
      <c r="D868" s="14" t="str">
        <f aca="false">IF(B868="","",IFERROR(INDEX(สินค้า!$D$2:$D$101,MATCH(B868,สินค้า!$A$2:$A$101,0)),""))</f>
        <v/>
      </c>
      <c r="E868" s="6"/>
      <c r="F868" s="8"/>
      <c r="G868" s="8"/>
      <c r="H868" s="8"/>
      <c r="I868" s="15"/>
      <c r="J868" s="15"/>
      <c r="K868" s="10" t="str">
        <f aca="false">IF(J868&lt;&gt;"",J868,IF(I868="","",I868*IFERROR(INDEX(สินค้า!$G$2:$G$101,MATCH(B868,สินค้า!$A$2:$A$101,0)),0)))</f>
        <v/>
      </c>
      <c r="L868" s="16" t="str">
        <f aca="false">IF(OR(F868="",F868=0,G868=""),"",G868/F868)</f>
        <v/>
      </c>
      <c r="M868" s="16" t="str">
        <f aca="false">IF(OR(G868="",G868=0,H868=""),"",H868/G868)</f>
        <v/>
      </c>
    </row>
    <row r="869" customFormat="false" ht="15" hidden="false" customHeight="false" outlineLevel="0" collapsed="false">
      <c r="A869" s="12"/>
      <c r="B869" s="6"/>
      <c r="C869" s="13" t="str">
        <f aca="false">IF(B869="","",IFERROR(INDEX(สินค้า!$B$2:$B$101,MATCH(B869,สินค้า!$A$2:$A$101,0)),"ไม่พบรหัส"))</f>
        <v/>
      </c>
      <c r="D869" s="14" t="str">
        <f aca="false">IF(B869="","",IFERROR(INDEX(สินค้า!$D$2:$D$101,MATCH(B869,สินค้า!$A$2:$A$101,0)),""))</f>
        <v/>
      </c>
      <c r="E869" s="6"/>
      <c r="F869" s="8"/>
      <c r="G869" s="8"/>
      <c r="H869" s="8"/>
      <c r="I869" s="15"/>
      <c r="J869" s="15"/>
      <c r="K869" s="10" t="str">
        <f aca="false">IF(J869&lt;&gt;"",J869,IF(I869="","",I869*IFERROR(INDEX(สินค้า!$G$2:$G$101,MATCH(B869,สินค้า!$A$2:$A$101,0)),0)))</f>
        <v/>
      </c>
      <c r="L869" s="16" t="str">
        <f aca="false">IF(OR(F869="",F869=0,G869=""),"",G869/F869)</f>
        <v/>
      </c>
      <c r="M869" s="16" t="str">
        <f aca="false">IF(OR(G869="",G869=0,H869=""),"",H869/G869)</f>
        <v/>
      </c>
    </row>
    <row r="870" customFormat="false" ht="15" hidden="false" customHeight="false" outlineLevel="0" collapsed="false">
      <c r="A870" s="12"/>
      <c r="B870" s="6"/>
      <c r="C870" s="13" t="str">
        <f aca="false">IF(B870="","",IFERROR(INDEX(สินค้า!$B$2:$B$101,MATCH(B870,สินค้า!$A$2:$A$101,0)),"ไม่พบรหัส"))</f>
        <v/>
      </c>
      <c r="D870" s="14" t="str">
        <f aca="false">IF(B870="","",IFERROR(INDEX(สินค้า!$D$2:$D$101,MATCH(B870,สินค้า!$A$2:$A$101,0)),""))</f>
        <v/>
      </c>
      <c r="E870" s="6"/>
      <c r="F870" s="8"/>
      <c r="G870" s="8"/>
      <c r="H870" s="8"/>
      <c r="I870" s="15"/>
      <c r="J870" s="15"/>
      <c r="K870" s="10" t="str">
        <f aca="false">IF(J870&lt;&gt;"",J870,IF(I870="","",I870*IFERROR(INDEX(สินค้า!$G$2:$G$101,MATCH(B870,สินค้า!$A$2:$A$101,0)),0)))</f>
        <v/>
      </c>
      <c r="L870" s="16" t="str">
        <f aca="false">IF(OR(F870="",F870=0,G870=""),"",G870/F870)</f>
        <v/>
      </c>
      <c r="M870" s="16" t="str">
        <f aca="false">IF(OR(G870="",G870=0,H870=""),"",H870/G870)</f>
        <v/>
      </c>
    </row>
    <row r="871" customFormat="false" ht="15" hidden="false" customHeight="false" outlineLevel="0" collapsed="false">
      <c r="A871" s="12"/>
      <c r="B871" s="6"/>
      <c r="C871" s="13" t="str">
        <f aca="false">IF(B871="","",IFERROR(INDEX(สินค้า!$B$2:$B$101,MATCH(B871,สินค้า!$A$2:$A$101,0)),"ไม่พบรหัส"))</f>
        <v/>
      </c>
      <c r="D871" s="14" t="str">
        <f aca="false">IF(B871="","",IFERROR(INDEX(สินค้า!$D$2:$D$101,MATCH(B871,สินค้า!$A$2:$A$101,0)),""))</f>
        <v/>
      </c>
      <c r="E871" s="6"/>
      <c r="F871" s="8"/>
      <c r="G871" s="8"/>
      <c r="H871" s="8"/>
      <c r="I871" s="15"/>
      <c r="J871" s="15"/>
      <c r="K871" s="10" t="str">
        <f aca="false">IF(J871&lt;&gt;"",J871,IF(I871="","",I871*IFERROR(INDEX(สินค้า!$G$2:$G$101,MATCH(B871,สินค้า!$A$2:$A$101,0)),0)))</f>
        <v/>
      </c>
      <c r="L871" s="16" t="str">
        <f aca="false">IF(OR(F871="",F871=0,G871=""),"",G871/F871)</f>
        <v/>
      </c>
      <c r="M871" s="16" t="str">
        <f aca="false">IF(OR(G871="",G871=0,H871=""),"",H871/G871)</f>
        <v/>
      </c>
    </row>
    <row r="872" customFormat="false" ht="15" hidden="false" customHeight="false" outlineLevel="0" collapsed="false">
      <c r="A872" s="12"/>
      <c r="B872" s="6"/>
      <c r="C872" s="13" t="str">
        <f aca="false">IF(B872="","",IFERROR(INDEX(สินค้า!$B$2:$B$101,MATCH(B872,สินค้า!$A$2:$A$101,0)),"ไม่พบรหัส"))</f>
        <v/>
      </c>
      <c r="D872" s="14" t="str">
        <f aca="false">IF(B872="","",IFERROR(INDEX(สินค้า!$D$2:$D$101,MATCH(B872,สินค้า!$A$2:$A$101,0)),""))</f>
        <v/>
      </c>
      <c r="E872" s="6"/>
      <c r="F872" s="8"/>
      <c r="G872" s="8"/>
      <c r="H872" s="8"/>
      <c r="I872" s="15"/>
      <c r="J872" s="15"/>
      <c r="K872" s="10" t="str">
        <f aca="false">IF(J872&lt;&gt;"",J872,IF(I872="","",I872*IFERROR(INDEX(สินค้า!$G$2:$G$101,MATCH(B872,สินค้า!$A$2:$A$101,0)),0)))</f>
        <v/>
      </c>
      <c r="L872" s="16" t="str">
        <f aca="false">IF(OR(F872="",F872=0,G872=""),"",G872/F872)</f>
        <v/>
      </c>
      <c r="M872" s="16" t="str">
        <f aca="false">IF(OR(G872="",G872=0,H872=""),"",H872/G872)</f>
        <v/>
      </c>
    </row>
    <row r="873" customFormat="false" ht="15" hidden="false" customHeight="false" outlineLevel="0" collapsed="false">
      <c r="A873" s="12"/>
      <c r="B873" s="6"/>
      <c r="C873" s="13" t="str">
        <f aca="false">IF(B873="","",IFERROR(INDEX(สินค้า!$B$2:$B$101,MATCH(B873,สินค้า!$A$2:$A$101,0)),"ไม่พบรหัส"))</f>
        <v/>
      </c>
      <c r="D873" s="14" t="str">
        <f aca="false">IF(B873="","",IFERROR(INDEX(สินค้า!$D$2:$D$101,MATCH(B873,สินค้า!$A$2:$A$101,0)),""))</f>
        <v/>
      </c>
      <c r="E873" s="6"/>
      <c r="F873" s="8"/>
      <c r="G873" s="8"/>
      <c r="H873" s="8"/>
      <c r="I873" s="15"/>
      <c r="J873" s="15"/>
      <c r="K873" s="10" t="str">
        <f aca="false">IF(J873&lt;&gt;"",J873,IF(I873="","",I873*IFERROR(INDEX(สินค้า!$G$2:$G$101,MATCH(B873,สินค้า!$A$2:$A$101,0)),0)))</f>
        <v/>
      </c>
      <c r="L873" s="16" t="str">
        <f aca="false">IF(OR(F873="",F873=0,G873=""),"",G873/F873)</f>
        <v/>
      </c>
      <c r="M873" s="16" t="str">
        <f aca="false">IF(OR(G873="",G873=0,H873=""),"",H873/G873)</f>
        <v/>
      </c>
    </row>
    <row r="874" customFormat="false" ht="15" hidden="false" customHeight="false" outlineLevel="0" collapsed="false">
      <c r="A874" s="12"/>
      <c r="B874" s="6"/>
      <c r="C874" s="13" t="str">
        <f aca="false">IF(B874="","",IFERROR(INDEX(สินค้า!$B$2:$B$101,MATCH(B874,สินค้า!$A$2:$A$101,0)),"ไม่พบรหัส"))</f>
        <v/>
      </c>
      <c r="D874" s="14" t="str">
        <f aca="false">IF(B874="","",IFERROR(INDEX(สินค้า!$D$2:$D$101,MATCH(B874,สินค้า!$A$2:$A$101,0)),""))</f>
        <v/>
      </c>
      <c r="E874" s="6"/>
      <c r="F874" s="8"/>
      <c r="G874" s="8"/>
      <c r="H874" s="8"/>
      <c r="I874" s="15"/>
      <c r="J874" s="15"/>
      <c r="K874" s="10" t="str">
        <f aca="false">IF(J874&lt;&gt;"",J874,IF(I874="","",I874*IFERROR(INDEX(สินค้า!$G$2:$G$101,MATCH(B874,สินค้า!$A$2:$A$101,0)),0)))</f>
        <v/>
      </c>
      <c r="L874" s="16" t="str">
        <f aca="false">IF(OR(F874="",F874=0,G874=""),"",G874/F874)</f>
        <v/>
      </c>
      <c r="M874" s="16" t="str">
        <f aca="false">IF(OR(G874="",G874=0,H874=""),"",H874/G874)</f>
        <v/>
      </c>
    </row>
    <row r="875" customFormat="false" ht="15" hidden="false" customHeight="false" outlineLevel="0" collapsed="false">
      <c r="A875" s="12"/>
      <c r="B875" s="6"/>
      <c r="C875" s="13" t="str">
        <f aca="false">IF(B875="","",IFERROR(INDEX(สินค้า!$B$2:$B$101,MATCH(B875,สินค้า!$A$2:$A$101,0)),"ไม่พบรหัส"))</f>
        <v/>
      </c>
      <c r="D875" s="14" t="str">
        <f aca="false">IF(B875="","",IFERROR(INDEX(สินค้า!$D$2:$D$101,MATCH(B875,สินค้า!$A$2:$A$101,0)),""))</f>
        <v/>
      </c>
      <c r="E875" s="6"/>
      <c r="F875" s="8"/>
      <c r="G875" s="8"/>
      <c r="H875" s="8"/>
      <c r="I875" s="15"/>
      <c r="J875" s="15"/>
      <c r="K875" s="10" t="str">
        <f aca="false">IF(J875&lt;&gt;"",J875,IF(I875="","",I875*IFERROR(INDEX(สินค้า!$G$2:$G$101,MATCH(B875,สินค้า!$A$2:$A$101,0)),0)))</f>
        <v/>
      </c>
      <c r="L875" s="16" t="str">
        <f aca="false">IF(OR(F875="",F875=0,G875=""),"",G875/F875)</f>
        <v/>
      </c>
      <c r="M875" s="16" t="str">
        <f aca="false">IF(OR(G875="",G875=0,H875=""),"",H875/G875)</f>
        <v/>
      </c>
    </row>
    <row r="876" customFormat="false" ht="15" hidden="false" customHeight="false" outlineLevel="0" collapsed="false">
      <c r="A876" s="12"/>
      <c r="B876" s="6"/>
      <c r="C876" s="13" t="str">
        <f aca="false">IF(B876="","",IFERROR(INDEX(สินค้า!$B$2:$B$101,MATCH(B876,สินค้า!$A$2:$A$101,0)),"ไม่พบรหัส"))</f>
        <v/>
      </c>
      <c r="D876" s="14" t="str">
        <f aca="false">IF(B876="","",IFERROR(INDEX(สินค้า!$D$2:$D$101,MATCH(B876,สินค้า!$A$2:$A$101,0)),""))</f>
        <v/>
      </c>
      <c r="E876" s="6"/>
      <c r="F876" s="8"/>
      <c r="G876" s="8"/>
      <c r="H876" s="8"/>
      <c r="I876" s="15"/>
      <c r="J876" s="15"/>
      <c r="K876" s="10" t="str">
        <f aca="false">IF(J876&lt;&gt;"",J876,IF(I876="","",I876*IFERROR(INDEX(สินค้า!$G$2:$G$101,MATCH(B876,สินค้า!$A$2:$A$101,0)),0)))</f>
        <v/>
      </c>
      <c r="L876" s="16" t="str">
        <f aca="false">IF(OR(F876="",F876=0,G876=""),"",G876/F876)</f>
        <v/>
      </c>
      <c r="M876" s="16" t="str">
        <f aca="false">IF(OR(G876="",G876=0,H876=""),"",H876/G876)</f>
        <v/>
      </c>
    </row>
    <row r="877" customFormat="false" ht="15" hidden="false" customHeight="false" outlineLevel="0" collapsed="false">
      <c r="A877" s="12"/>
      <c r="B877" s="6"/>
      <c r="C877" s="13" t="str">
        <f aca="false">IF(B877="","",IFERROR(INDEX(สินค้า!$B$2:$B$101,MATCH(B877,สินค้า!$A$2:$A$101,0)),"ไม่พบรหัส"))</f>
        <v/>
      </c>
      <c r="D877" s="14" t="str">
        <f aca="false">IF(B877="","",IFERROR(INDEX(สินค้า!$D$2:$D$101,MATCH(B877,สินค้า!$A$2:$A$101,0)),""))</f>
        <v/>
      </c>
      <c r="E877" s="6"/>
      <c r="F877" s="8"/>
      <c r="G877" s="8"/>
      <c r="H877" s="8"/>
      <c r="I877" s="15"/>
      <c r="J877" s="15"/>
      <c r="K877" s="10" t="str">
        <f aca="false">IF(J877&lt;&gt;"",J877,IF(I877="","",I877*IFERROR(INDEX(สินค้า!$G$2:$G$101,MATCH(B877,สินค้า!$A$2:$A$101,0)),0)))</f>
        <v/>
      </c>
      <c r="L877" s="16" t="str">
        <f aca="false">IF(OR(F877="",F877=0,G877=""),"",G877/F877)</f>
        <v/>
      </c>
      <c r="M877" s="16" t="str">
        <f aca="false">IF(OR(G877="",G877=0,H877=""),"",H877/G877)</f>
        <v/>
      </c>
    </row>
    <row r="878" customFormat="false" ht="15" hidden="false" customHeight="false" outlineLevel="0" collapsed="false">
      <c r="A878" s="12"/>
      <c r="B878" s="6"/>
      <c r="C878" s="13" t="str">
        <f aca="false">IF(B878="","",IFERROR(INDEX(สินค้า!$B$2:$B$101,MATCH(B878,สินค้า!$A$2:$A$101,0)),"ไม่พบรหัส"))</f>
        <v/>
      </c>
      <c r="D878" s="14" t="str">
        <f aca="false">IF(B878="","",IFERROR(INDEX(สินค้า!$D$2:$D$101,MATCH(B878,สินค้า!$A$2:$A$101,0)),""))</f>
        <v/>
      </c>
      <c r="E878" s="6"/>
      <c r="F878" s="8"/>
      <c r="G878" s="8"/>
      <c r="H878" s="8"/>
      <c r="I878" s="15"/>
      <c r="J878" s="15"/>
      <c r="K878" s="10" t="str">
        <f aca="false">IF(J878&lt;&gt;"",J878,IF(I878="","",I878*IFERROR(INDEX(สินค้า!$G$2:$G$101,MATCH(B878,สินค้า!$A$2:$A$101,0)),0)))</f>
        <v/>
      </c>
      <c r="L878" s="16" t="str">
        <f aca="false">IF(OR(F878="",F878=0,G878=""),"",G878/F878)</f>
        <v/>
      </c>
      <c r="M878" s="16" t="str">
        <f aca="false">IF(OR(G878="",G878=0,H878=""),"",H878/G878)</f>
        <v/>
      </c>
    </row>
    <row r="879" customFormat="false" ht="15" hidden="false" customHeight="false" outlineLevel="0" collapsed="false">
      <c r="A879" s="12"/>
      <c r="B879" s="6"/>
      <c r="C879" s="13" t="str">
        <f aca="false">IF(B879="","",IFERROR(INDEX(สินค้า!$B$2:$B$101,MATCH(B879,สินค้า!$A$2:$A$101,0)),"ไม่พบรหัส"))</f>
        <v/>
      </c>
      <c r="D879" s="14" t="str">
        <f aca="false">IF(B879="","",IFERROR(INDEX(สินค้า!$D$2:$D$101,MATCH(B879,สินค้า!$A$2:$A$101,0)),""))</f>
        <v/>
      </c>
      <c r="E879" s="6"/>
      <c r="F879" s="8"/>
      <c r="G879" s="8"/>
      <c r="H879" s="8"/>
      <c r="I879" s="15"/>
      <c r="J879" s="15"/>
      <c r="K879" s="10" t="str">
        <f aca="false">IF(J879&lt;&gt;"",J879,IF(I879="","",I879*IFERROR(INDEX(สินค้า!$G$2:$G$101,MATCH(B879,สินค้า!$A$2:$A$101,0)),0)))</f>
        <v/>
      </c>
      <c r="L879" s="16" t="str">
        <f aca="false">IF(OR(F879="",F879=0,G879=""),"",G879/F879)</f>
        <v/>
      </c>
      <c r="M879" s="16" t="str">
        <f aca="false">IF(OR(G879="",G879=0,H879=""),"",H879/G879)</f>
        <v/>
      </c>
    </row>
    <row r="880" customFormat="false" ht="15" hidden="false" customHeight="false" outlineLevel="0" collapsed="false">
      <c r="A880" s="12"/>
      <c r="B880" s="6"/>
      <c r="C880" s="13" t="str">
        <f aca="false">IF(B880="","",IFERROR(INDEX(สินค้า!$B$2:$B$101,MATCH(B880,สินค้า!$A$2:$A$101,0)),"ไม่พบรหัส"))</f>
        <v/>
      </c>
      <c r="D880" s="14" t="str">
        <f aca="false">IF(B880="","",IFERROR(INDEX(สินค้า!$D$2:$D$101,MATCH(B880,สินค้า!$A$2:$A$101,0)),""))</f>
        <v/>
      </c>
      <c r="E880" s="6"/>
      <c r="F880" s="8"/>
      <c r="G880" s="8"/>
      <c r="H880" s="8"/>
      <c r="I880" s="15"/>
      <c r="J880" s="15"/>
      <c r="K880" s="10" t="str">
        <f aca="false">IF(J880&lt;&gt;"",J880,IF(I880="","",I880*IFERROR(INDEX(สินค้า!$G$2:$G$101,MATCH(B880,สินค้า!$A$2:$A$101,0)),0)))</f>
        <v/>
      </c>
      <c r="L880" s="16" t="str">
        <f aca="false">IF(OR(F880="",F880=0,G880=""),"",G880/F880)</f>
        <v/>
      </c>
      <c r="M880" s="16" t="str">
        <f aca="false">IF(OR(G880="",G880=0,H880=""),"",H880/G880)</f>
        <v/>
      </c>
    </row>
    <row r="881" customFormat="false" ht="15" hidden="false" customHeight="false" outlineLevel="0" collapsed="false">
      <c r="A881" s="12"/>
      <c r="B881" s="6"/>
      <c r="C881" s="13" t="str">
        <f aca="false">IF(B881="","",IFERROR(INDEX(สินค้า!$B$2:$B$101,MATCH(B881,สินค้า!$A$2:$A$101,0)),"ไม่พบรหัส"))</f>
        <v/>
      </c>
      <c r="D881" s="14" t="str">
        <f aca="false">IF(B881="","",IFERROR(INDEX(สินค้า!$D$2:$D$101,MATCH(B881,สินค้า!$A$2:$A$101,0)),""))</f>
        <v/>
      </c>
      <c r="E881" s="6"/>
      <c r="F881" s="8"/>
      <c r="G881" s="8"/>
      <c r="H881" s="8"/>
      <c r="I881" s="15"/>
      <c r="J881" s="15"/>
      <c r="K881" s="10" t="str">
        <f aca="false">IF(J881&lt;&gt;"",J881,IF(I881="","",I881*IFERROR(INDEX(สินค้า!$G$2:$G$101,MATCH(B881,สินค้า!$A$2:$A$101,0)),0)))</f>
        <v/>
      </c>
      <c r="L881" s="16" t="str">
        <f aca="false">IF(OR(F881="",F881=0,G881=""),"",G881/F881)</f>
        <v/>
      </c>
      <c r="M881" s="16" t="str">
        <f aca="false">IF(OR(G881="",G881=0,H881=""),"",H881/G881)</f>
        <v/>
      </c>
    </row>
    <row r="882" customFormat="false" ht="15" hidden="false" customHeight="false" outlineLevel="0" collapsed="false">
      <c r="A882" s="12"/>
      <c r="B882" s="6"/>
      <c r="C882" s="13" t="str">
        <f aca="false">IF(B882="","",IFERROR(INDEX(สินค้า!$B$2:$B$101,MATCH(B882,สินค้า!$A$2:$A$101,0)),"ไม่พบรหัส"))</f>
        <v/>
      </c>
      <c r="D882" s="14" t="str">
        <f aca="false">IF(B882="","",IFERROR(INDEX(สินค้า!$D$2:$D$101,MATCH(B882,สินค้า!$A$2:$A$101,0)),""))</f>
        <v/>
      </c>
      <c r="E882" s="6"/>
      <c r="F882" s="8"/>
      <c r="G882" s="8"/>
      <c r="H882" s="8"/>
      <c r="I882" s="15"/>
      <c r="J882" s="15"/>
      <c r="K882" s="10" t="str">
        <f aca="false">IF(J882&lt;&gt;"",J882,IF(I882="","",I882*IFERROR(INDEX(สินค้า!$G$2:$G$101,MATCH(B882,สินค้า!$A$2:$A$101,0)),0)))</f>
        <v/>
      </c>
      <c r="L882" s="16" t="str">
        <f aca="false">IF(OR(F882="",F882=0,G882=""),"",G882/F882)</f>
        <v/>
      </c>
      <c r="M882" s="16" t="str">
        <f aca="false">IF(OR(G882="",G882=0,H882=""),"",H882/G882)</f>
        <v/>
      </c>
    </row>
    <row r="883" customFormat="false" ht="15" hidden="false" customHeight="false" outlineLevel="0" collapsed="false">
      <c r="A883" s="12"/>
      <c r="B883" s="6"/>
      <c r="C883" s="13" t="str">
        <f aca="false">IF(B883="","",IFERROR(INDEX(สินค้า!$B$2:$B$101,MATCH(B883,สินค้า!$A$2:$A$101,0)),"ไม่พบรหัส"))</f>
        <v/>
      </c>
      <c r="D883" s="14" t="str">
        <f aca="false">IF(B883="","",IFERROR(INDEX(สินค้า!$D$2:$D$101,MATCH(B883,สินค้า!$A$2:$A$101,0)),""))</f>
        <v/>
      </c>
      <c r="E883" s="6"/>
      <c r="F883" s="8"/>
      <c r="G883" s="8"/>
      <c r="H883" s="8"/>
      <c r="I883" s="15"/>
      <c r="J883" s="15"/>
      <c r="K883" s="10" t="str">
        <f aca="false">IF(J883&lt;&gt;"",J883,IF(I883="","",I883*IFERROR(INDEX(สินค้า!$G$2:$G$101,MATCH(B883,สินค้า!$A$2:$A$101,0)),0)))</f>
        <v/>
      </c>
      <c r="L883" s="16" t="str">
        <f aca="false">IF(OR(F883="",F883=0,G883=""),"",G883/F883)</f>
        <v/>
      </c>
      <c r="M883" s="16" t="str">
        <f aca="false">IF(OR(G883="",G883=0,H883=""),"",H883/G883)</f>
        <v/>
      </c>
    </row>
    <row r="884" customFormat="false" ht="15" hidden="false" customHeight="false" outlineLevel="0" collapsed="false">
      <c r="A884" s="12"/>
      <c r="B884" s="6"/>
      <c r="C884" s="13" t="str">
        <f aca="false">IF(B884="","",IFERROR(INDEX(สินค้า!$B$2:$B$101,MATCH(B884,สินค้า!$A$2:$A$101,0)),"ไม่พบรหัส"))</f>
        <v/>
      </c>
      <c r="D884" s="14" t="str">
        <f aca="false">IF(B884="","",IFERROR(INDEX(สินค้า!$D$2:$D$101,MATCH(B884,สินค้า!$A$2:$A$101,0)),""))</f>
        <v/>
      </c>
      <c r="E884" s="6"/>
      <c r="F884" s="8"/>
      <c r="G884" s="8"/>
      <c r="H884" s="8"/>
      <c r="I884" s="15"/>
      <c r="J884" s="15"/>
      <c r="K884" s="10" t="str">
        <f aca="false">IF(J884&lt;&gt;"",J884,IF(I884="","",I884*IFERROR(INDEX(สินค้า!$G$2:$G$101,MATCH(B884,สินค้า!$A$2:$A$101,0)),0)))</f>
        <v/>
      </c>
      <c r="L884" s="16" t="str">
        <f aca="false">IF(OR(F884="",F884=0,G884=""),"",G884/F884)</f>
        <v/>
      </c>
      <c r="M884" s="16" t="str">
        <f aca="false">IF(OR(G884="",G884=0,H884=""),"",H884/G884)</f>
        <v/>
      </c>
    </row>
    <row r="885" customFormat="false" ht="15" hidden="false" customHeight="false" outlineLevel="0" collapsed="false">
      <c r="A885" s="12"/>
      <c r="B885" s="6"/>
      <c r="C885" s="13" t="str">
        <f aca="false">IF(B885="","",IFERROR(INDEX(สินค้า!$B$2:$B$101,MATCH(B885,สินค้า!$A$2:$A$101,0)),"ไม่พบรหัส"))</f>
        <v/>
      </c>
      <c r="D885" s="14" t="str">
        <f aca="false">IF(B885="","",IFERROR(INDEX(สินค้า!$D$2:$D$101,MATCH(B885,สินค้า!$A$2:$A$101,0)),""))</f>
        <v/>
      </c>
      <c r="E885" s="6"/>
      <c r="F885" s="8"/>
      <c r="G885" s="8"/>
      <c r="H885" s="8"/>
      <c r="I885" s="15"/>
      <c r="J885" s="15"/>
      <c r="K885" s="10" t="str">
        <f aca="false">IF(J885&lt;&gt;"",J885,IF(I885="","",I885*IFERROR(INDEX(สินค้า!$G$2:$G$101,MATCH(B885,สินค้า!$A$2:$A$101,0)),0)))</f>
        <v/>
      </c>
      <c r="L885" s="16" t="str">
        <f aca="false">IF(OR(F885="",F885=0,G885=""),"",G885/F885)</f>
        <v/>
      </c>
      <c r="M885" s="16" t="str">
        <f aca="false">IF(OR(G885="",G885=0,H885=""),"",H885/G885)</f>
        <v/>
      </c>
    </row>
    <row r="886" customFormat="false" ht="15" hidden="false" customHeight="false" outlineLevel="0" collapsed="false">
      <c r="A886" s="12"/>
      <c r="B886" s="6"/>
      <c r="C886" s="13" t="str">
        <f aca="false">IF(B886="","",IFERROR(INDEX(สินค้า!$B$2:$B$101,MATCH(B886,สินค้า!$A$2:$A$101,0)),"ไม่พบรหัส"))</f>
        <v/>
      </c>
      <c r="D886" s="14" t="str">
        <f aca="false">IF(B886="","",IFERROR(INDEX(สินค้า!$D$2:$D$101,MATCH(B886,สินค้า!$A$2:$A$101,0)),""))</f>
        <v/>
      </c>
      <c r="E886" s="6"/>
      <c r="F886" s="8"/>
      <c r="G886" s="8"/>
      <c r="H886" s="8"/>
      <c r="I886" s="15"/>
      <c r="J886" s="15"/>
      <c r="K886" s="10" t="str">
        <f aca="false">IF(J886&lt;&gt;"",J886,IF(I886="","",I886*IFERROR(INDEX(สินค้า!$G$2:$G$101,MATCH(B886,สินค้า!$A$2:$A$101,0)),0)))</f>
        <v/>
      </c>
      <c r="L886" s="16" t="str">
        <f aca="false">IF(OR(F886="",F886=0,G886=""),"",G886/F886)</f>
        <v/>
      </c>
      <c r="M886" s="16" t="str">
        <f aca="false">IF(OR(G886="",G886=0,H886=""),"",H886/G886)</f>
        <v/>
      </c>
    </row>
    <row r="887" customFormat="false" ht="15" hidden="false" customHeight="false" outlineLevel="0" collapsed="false">
      <c r="A887" s="12"/>
      <c r="B887" s="6"/>
      <c r="C887" s="13" t="str">
        <f aca="false">IF(B887="","",IFERROR(INDEX(สินค้า!$B$2:$B$101,MATCH(B887,สินค้า!$A$2:$A$101,0)),"ไม่พบรหัส"))</f>
        <v/>
      </c>
      <c r="D887" s="14" t="str">
        <f aca="false">IF(B887="","",IFERROR(INDEX(สินค้า!$D$2:$D$101,MATCH(B887,สินค้า!$A$2:$A$101,0)),""))</f>
        <v/>
      </c>
      <c r="E887" s="6"/>
      <c r="F887" s="8"/>
      <c r="G887" s="8"/>
      <c r="H887" s="8"/>
      <c r="I887" s="15"/>
      <c r="J887" s="15"/>
      <c r="K887" s="10" t="str">
        <f aca="false">IF(J887&lt;&gt;"",J887,IF(I887="","",I887*IFERROR(INDEX(สินค้า!$G$2:$G$101,MATCH(B887,สินค้า!$A$2:$A$101,0)),0)))</f>
        <v/>
      </c>
      <c r="L887" s="16" t="str">
        <f aca="false">IF(OR(F887="",F887=0,G887=""),"",G887/F887)</f>
        <v/>
      </c>
      <c r="M887" s="16" t="str">
        <f aca="false">IF(OR(G887="",G887=0,H887=""),"",H887/G887)</f>
        <v/>
      </c>
    </row>
    <row r="888" customFormat="false" ht="15" hidden="false" customHeight="false" outlineLevel="0" collapsed="false">
      <c r="A888" s="12"/>
      <c r="B888" s="6"/>
      <c r="C888" s="13" t="str">
        <f aca="false">IF(B888="","",IFERROR(INDEX(สินค้า!$B$2:$B$101,MATCH(B888,สินค้า!$A$2:$A$101,0)),"ไม่พบรหัส"))</f>
        <v/>
      </c>
      <c r="D888" s="14" t="str">
        <f aca="false">IF(B888="","",IFERROR(INDEX(สินค้า!$D$2:$D$101,MATCH(B888,สินค้า!$A$2:$A$101,0)),""))</f>
        <v/>
      </c>
      <c r="E888" s="6"/>
      <c r="F888" s="8"/>
      <c r="G888" s="8"/>
      <c r="H888" s="8"/>
      <c r="I888" s="15"/>
      <c r="J888" s="15"/>
      <c r="K888" s="10" t="str">
        <f aca="false">IF(J888&lt;&gt;"",J888,IF(I888="","",I888*IFERROR(INDEX(สินค้า!$G$2:$G$101,MATCH(B888,สินค้า!$A$2:$A$101,0)),0)))</f>
        <v/>
      </c>
      <c r="L888" s="16" t="str">
        <f aca="false">IF(OR(F888="",F888=0,G888=""),"",G888/F888)</f>
        <v/>
      </c>
      <c r="M888" s="16" t="str">
        <f aca="false">IF(OR(G888="",G888=0,H888=""),"",H888/G888)</f>
        <v/>
      </c>
    </row>
    <row r="889" customFormat="false" ht="15" hidden="false" customHeight="false" outlineLevel="0" collapsed="false">
      <c r="A889" s="12"/>
      <c r="B889" s="6"/>
      <c r="C889" s="13" t="str">
        <f aca="false">IF(B889="","",IFERROR(INDEX(สินค้า!$B$2:$B$101,MATCH(B889,สินค้า!$A$2:$A$101,0)),"ไม่พบรหัส"))</f>
        <v/>
      </c>
      <c r="D889" s="14" t="str">
        <f aca="false">IF(B889="","",IFERROR(INDEX(สินค้า!$D$2:$D$101,MATCH(B889,สินค้า!$A$2:$A$101,0)),""))</f>
        <v/>
      </c>
      <c r="E889" s="6"/>
      <c r="F889" s="8"/>
      <c r="G889" s="8"/>
      <c r="H889" s="8"/>
      <c r="I889" s="15"/>
      <c r="J889" s="15"/>
      <c r="K889" s="10" t="str">
        <f aca="false">IF(J889&lt;&gt;"",J889,IF(I889="","",I889*IFERROR(INDEX(สินค้า!$G$2:$G$101,MATCH(B889,สินค้า!$A$2:$A$101,0)),0)))</f>
        <v/>
      </c>
      <c r="L889" s="16" t="str">
        <f aca="false">IF(OR(F889="",F889=0,G889=""),"",G889/F889)</f>
        <v/>
      </c>
      <c r="M889" s="16" t="str">
        <f aca="false">IF(OR(G889="",G889=0,H889=""),"",H889/G889)</f>
        <v/>
      </c>
    </row>
    <row r="890" customFormat="false" ht="15" hidden="false" customHeight="false" outlineLevel="0" collapsed="false">
      <c r="A890" s="12"/>
      <c r="B890" s="6"/>
      <c r="C890" s="13" t="str">
        <f aca="false">IF(B890="","",IFERROR(INDEX(สินค้า!$B$2:$B$101,MATCH(B890,สินค้า!$A$2:$A$101,0)),"ไม่พบรหัส"))</f>
        <v/>
      </c>
      <c r="D890" s="14" t="str">
        <f aca="false">IF(B890="","",IFERROR(INDEX(สินค้า!$D$2:$D$101,MATCH(B890,สินค้า!$A$2:$A$101,0)),""))</f>
        <v/>
      </c>
      <c r="E890" s="6"/>
      <c r="F890" s="8"/>
      <c r="G890" s="8"/>
      <c r="H890" s="8"/>
      <c r="I890" s="15"/>
      <c r="J890" s="15"/>
      <c r="K890" s="10" t="str">
        <f aca="false">IF(J890&lt;&gt;"",J890,IF(I890="","",I890*IFERROR(INDEX(สินค้า!$G$2:$G$101,MATCH(B890,สินค้า!$A$2:$A$101,0)),0)))</f>
        <v/>
      </c>
      <c r="L890" s="16" t="str">
        <f aca="false">IF(OR(F890="",F890=0,G890=""),"",G890/F890)</f>
        <v/>
      </c>
      <c r="M890" s="16" t="str">
        <f aca="false">IF(OR(G890="",G890=0,H890=""),"",H890/G890)</f>
        <v/>
      </c>
    </row>
    <row r="891" customFormat="false" ht="15" hidden="false" customHeight="false" outlineLevel="0" collapsed="false">
      <c r="A891" s="12"/>
      <c r="B891" s="6"/>
      <c r="C891" s="13" t="str">
        <f aca="false">IF(B891="","",IFERROR(INDEX(สินค้า!$B$2:$B$101,MATCH(B891,สินค้า!$A$2:$A$101,0)),"ไม่พบรหัส"))</f>
        <v/>
      </c>
      <c r="D891" s="14" t="str">
        <f aca="false">IF(B891="","",IFERROR(INDEX(สินค้า!$D$2:$D$101,MATCH(B891,สินค้า!$A$2:$A$101,0)),""))</f>
        <v/>
      </c>
      <c r="E891" s="6"/>
      <c r="F891" s="8"/>
      <c r="G891" s="8"/>
      <c r="H891" s="8"/>
      <c r="I891" s="15"/>
      <c r="J891" s="15"/>
      <c r="K891" s="10" t="str">
        <f aca="false">IF(J891&lt;&gt;"",J891,IF(I891="","",I891*IFERROR(INDEX(สินค้า!$G$2:$G$101,MATCH(B891,สินค้า!$A$2:$A$101,0)),0)))</f>
        <v/>
      </c>
      <c r="L891" s="16" t="str">
        <f aca="false">IF(OR(F891="",F891=0,G891=""),"",G891/F891)</f>
        <v/>
      </c>
      <c r="M891" s="16" t="str">
        <f aca="false">IF(OR(G891="",G891=0,H891=""),"",H891/G891)</f>
        <v/>
      </c>
    </row>
    <row r="892" customFormat="false" ht="15" hidden="false" customHeight="false" outlineLevel="0" collapsed="false">
      <c r="A892" s="12"/>
      <c r="B892" s="6"/>
      <c r="C892" s="13" t="str">
        <f aca="false">IF(B892="","",IFERROR(INDEX(สินค้า!$B$2:$B$101,MATCH(B892,สินค้า!$A$2:$A$101,0)),"ไม่พบรหัส"))</f>
        <v/>
      </c>
      <c r="D892" s="14" t="str">
        <f aca="false">IF(B892="","",IFERROR(INDEX(สินค้า!$D$2:$D$101,MATCH(B892,สินค้า!$A$2:$A$101,0)),""))</f>
        <v/>
      </c>
      <c r="E892" s="6"/>
      <c r="F892" s="8"/>
      <c r="G892" s="8"/>
      <c r="H892" s="8"/>
      <c r="I892" s="15"/>
      <c r="J892" s="15"/>
      <c r="K892" s="10" t="str">
        <f aca="false">IF(J892&lt;&gt;"",J892,IF(I892="","",I892*IFERROR(INDEX(สินค้า!$G$2:$G$101,MATCH(B892,สินค้า!$A$2:$A$101,0)),0)))</f>
        <v/>
      </c>
      <c r="L892" s="16" t="str">
        <f aca="false">IF(OR(F892="",F892=0,G892=""),"",G892/F892)</f>
        <v/>
      </c>
      <c r="M892" s="16" t="str">
        <f aca="false">IF(OR(G892="",G892=0,H892=""),"",H892/G892)</f>
        <v/>
      </c>
    </row>
    <row r="893" customFormat="false" ht="15" hidden="false" customHeight="false" outlineLevel="0" collapsed="false">
      <c r="A893" s="12"/>
      <c r="B893" s="6"/>
      <c r="C893" s="13" t="str">
        <f aca="false">IF(B893="","",IFERROR(INDEX(สินค้า!$B$2:$B$101,MATCH(B893,สินค้า!$A$2:$A$101,0)),"ไม่พบรหัส"))</f>
        <v/>
      </c>
      <c r="D893" s="14" t="str">
        <f aca="false">IF(B893="","",IFERROR(INDEX(สินค้า!$D$2:$D$101,MATCH(B893,สินค้า!$A$2:$A$101,0)),""))</f>
        <v/>
      </c>
      <c r="E893" s="6"/>
      <c r="F893" s="8"/>
      <c r="G893" s="8"/>
      <c r="H893" s="8"/>
      <c r="I893" s="15"/>
      <c r="J893" s="15"/>
      <c r="K893" s="10" t="str">
        <f aca="false">IF(J893&lt;&gt;"",J893,IF(I893="","",I893*IFERROR(INDEX(สินค้า!$G$2:$G$101,MATCH(B893,สินค้า!$A$2:$A$101,0)),0)))</f>
        <v/>
      </c>
      <c r="L893" s="16" t="str">
        <f aca="false">IF(OR(F893="",F893=0,G893=""),"",G893/F893)</f>
        <v/>
      </c>
      <c r="M893" s="16" t="str">
        <f aca="false">IF(OR(G893="",G893=0,H893=""),"",H893/G893)</f>
        <v/>
      </c>
    </row>
    <row r="894" customFormat="false" ht="15" hidden="false" customHeight="false" outlineLevel="0" collapsed="false">
      <c r="A894" s="12"/>
      <c r="B894" s="6"/>
      <c r="C894" s="13" t="str">
        <f aca="false">IF(B894="","",IFERROR(INDEX(สินค้า!$B$2:$B$101,MATCH(B894,สินค้า!$A$2:$A$101,0)),"ไม่พบรหัส"))</f>
        <v/>
      </c>
      <c r="D894" s="14" t="str">
        <f aca="false">IF(B894="","",IFERROR(INDEX(สินค้า!$D$2:$D$101,MATCH(B894,สินค้า!$A$2:$A$101,0)),""))</f>
        <v/>
      </c>
      <c r="E894" s="6"/>
      <c r="F894" s="8"/>
      <c r="G894" s="8"/>
      <c r="H894" s="8"/>
      <c r="I894" s="15"/>
      <c r="J894" s="15"/>
      <c r="K894" s="10" t="str">
        <f aca="false">IF(J894&lt;&gt;"",J894,IF(I894="","",I894*IFERROR(INDEX(สินค้า!$G$2:$G$101,MATCH(B894,สินค้า!$A$2:$A$101,0)),0)))</f>
        <v/>
      </c>
      <c r="L894" s="16" t="str">
        <f aca="false">IF(OR(F894="",F894=0,G894=""),"",G894/F894)</f>
        <v/>
      </c>
      <c r="M894" s="16" t="str">
        <f aca="false">IF(OR(G894="",G894=0,H894=""),"",H894/G894)</f>
        <v/>
      </c>
    </row>
    <row r="895" customFormat="false" ht="15" hidden="false" customHeight="false" outlineLevel="0" collapsed="false">
      <c r="A895" s="12"/>
      <c r="B895" s="6"/>
      <c r="C895" s="13" t="str">
        <f aca="false">IF(B895="","",IFERROR(INDEX(สินค้า!$B$2:$B$101,MATCH(B895,สินค้า!$A$2:$A$101,0)),"ไม่พบรหัส"))</f>
        <v/>
      </c>
      <c r="D895" s="14" t="str">
        <f aca="false">IF(B895="","",IFERROR(INDEX(สินค้า!$D$2:$D$101,MATCH(B895,สินค้า!$A$2:$A$101,0)),""))</f>
        <v/>
      </c>
      <c r="E895" s="6"/>
      <c r="F895" s="8"/>
      <c r="G895" s="8"/>
      <c r="H895" s="8"/>
      <c r="I895" s="15"/>
      <c r="J895" s="15"/>
      <c r="K895" s="10" t="str">
        <f aca="false">IF(J895&lt;&gt;"",J895,IF(I895="","",I895*IFERROR(INDEX(สินค้า!$G$2:$G$101,MATCH(B895,สินค้า!$A$2:$A$101,0)),0)))</f>
        <v/>
      </c>
      <c r="L895" s="16" t="str">
        <f aca="false">IF(OR(F895="",F895=0,G895=""),"",G895/F895)</f>
        <v/>
      </c>
      <c r="M895" s="16" t="str">
        <f aca="false">IF(OR(G895="",G895=0,H895=""),"",H895/G895)</f>
        <v/>
      </c>
    </row>
    <row r="896" customFormat="false" ht="15" hidden="false" customHeight="false" outlineLevel="0" collapsed="false">
      <c r="A896" s="12"/>
      <c r="B896" s="6"/>
      <c r="C896" s="13" t="str">
        <f aca="false">IF(B896="","",IFERROR(INDEX(สินค้า!$B$2:$B$101,MATCH(B896,สินค้า!$A$2:$A$101,0)),"ไม่พบรหัส"))</f>
        <v/>
      </c>
      <c r="D896" s="14" t="str">
        <f aca="false">IF(B896="","",IFERROR(INDEX(สินค้า!$D$2:$D$101,MATCH(B896,สินค้า!$A$2:$A$101,0)),""))</f>
        <v/>
      </c>
      <c r="E896" s="6"/>
      <c r="F896" s="8"/>
      <c r="G896" s="8"/>
      <c r="H896" s="8"/>
      <c r="I896" s="15"/>
      <c r="J896" s="15"/>
      <c r="K896" s="10" t="str">
        <f aca="false">IF(J896&lt;&gt;"",J896,IF(I896="","",I896*IFERROR(INDEX(สินค้า!$G$2:$G$101,MATCH(B896,สินค้า!$A$2:$A$101,0)),0)))</f>
        <v/>
      </c>
      <c r="L896" s="16" t="str">
        <f aca="false">IF(OR(F896="",F896=0,G896=""),"",G896/F896)</f>
        <v/>
      </c>
      <c r="M896" s="16" t="str">
        <f aca="false">IF(OR(G896="",G896=0,H896=""),"",H896/G896)</f>
        <v/>
      </c>
    </row>
    <row r="897" customFormat="false" ht="15" hidden="false" customHeight="false" outlineLevel="0" collapsed="false">
      <c r="A897" s="12"/>
      <c r="B897" s="6"/>
      <c r="C897" s="13" t="str">
        <f aca="false">IF(B897="","",IFERROR(INDEX(สินค้า!$B$2:$B$101,MATCH(B897,สินค้า!$A$2:$A$101,0)),"ไม่พบรหัส"))</f>
        <v/>
      </c>
      <c r="D897" s="14" t="str">
        <f aca="false">IF(B897="","",IFERROR(INDEX(สินค้า!$D$2:$D$101,MATCH(B897,สินค้า!$A$2:$A$101,0)),""))</f>
        <v/>
      </c>
      <c r="E897" s="6"/>
      <c r="F897" s="8"/>
      <c r="G897" s="8"/>
      <c r="H897" s="8"/>
      <c r="I897" s="15"/>
      <c r="J897" s="15"/>
      <c r="K897" s="10" t="str">
        <f aca="false">IF(J897&lt;&gt;"",J897,IF(I897="","",I897*IFERROR(INDEX(สินค้า!$G$2:$G$101,MATCH(B897,สินค้า!$A$2:$A$101,0)),0)))</f>
        <v/>
      </c>
      <c r="L897" s="16" t="str">
        <f aca="false">IF(OR(F897="",F897=0,G897=""),"",G897/F897)</f>
        <v/>
      </c>
      <c r="M897" s="16" t="str">
        <f aca="false">IF(OR(G897="",G897=0,H897=""),"",H897/G897)</f>
        <v/>
      </c>
    </row>
    <row r="898" customFormat="false" ht="15" hidden="false" customHeight="false" outlineLevel="0" collapsed="false">
      <c r="A898" s="12"/>
      <c r="B898" s="6"/>
      <c r="C898" s="13" t="str">
        <f aca="false">IF(B898="","",IFERROR(INDEX(สินค้า!$B$2:$B$101,MATCH(B898,สินค้า!$A$2:$A$101,0)),"ไม่พบรหัส"))</f>
        <v/>
      </c>
      <c r="D898" s="14" t="str">
        <f aca="false">IF(B898="","",IFERROR(INDEX(สินค้า!$D$2:$D$101,MATCH(B898,สินค้า!$A$2:$A$101,0)),""))</f>
        <v/>
      </c>
      <c r="E898" s="6"/>
      <c r="F898" s="8"/>
      <c r="G898" s="8"/>
      <c r="H898" s="8"/>
      <c r="I898" s="15"/>
      <c r="J898" s="15"/>
      <c r="K898" s="10" t="str">
        <f aca="false">IF(J898&lt;&gt;"",J898,IF(I898="","",I898*IFERROR(INDEX(สินค้า!$G$2:$G$101,MATCH(B898,สินค้า!$A$2:$A$101,0)),0)))</f>
        <v/>
      </c>
      <c r="L898" s="16" t="str">
        <f aca="false">IF(OR(F898="",F898=0,G898=""),"",G898/F898)</f>
        <v/>
      </c>
      <c r="M898" s="16" t="str">
        <f aca="false">IF(OR(G898="",G898=0,H898=""),"",H898/G898)</f>
        <v/>
      </c>
    </row>
    <row r="899" customFormat="false" ht="15" hidden="false" customHeight="false" outlineLevel="0" collapsed="false">
      <c r="A899" s="12"/>
      <c r="B899" s="6"/>
      <c r="C899" s="13" t="str">
        <f aca="false">IF(B899="","",IFERROR(INDEX(สินค้า!$B$2:$B$101,MATCH(B899,สินค้า!$A$2:$A$101,0)),"ไม่พบรหัส"))</f>
        <v/>
      </c>
      <c r="D899" s="14" t="str">
        <f aca="false">IF(B899="","",IFERROR(INDEX(สินค้า!$D$2:$D$101,MATCH(B899,สินค้า!$A$2:$A$101,0)),""))</f>
        <v/>
      </c>
      <c r="E899" s="6"/>
      <c r="F899" s="8"/>
      <c r="G899" s="8"/>
      <c r="H899" s="8"/>
      <c r="I899" s="15"/>
      <c r="J899" s="15"/>
      <c r="K899" s="10" t="str">
        <f aca="false">IF(J899&lt;&gt;"",J899,IF(I899="","",I899*IFERROR(INDEX(สินค้า!$G$2:$G$101,MATCH(B899,สินค้า!$A$2:$A$101,0)),0)))</f>
        <v/>
      </c>
      <c r="L899" s="16" t="str">
        <f aca="false">IF(OR(F899="",F899=0,G899=""),"",G899/F899)</f>
        <v/>
      </c>
      <c r="M899" s="16" t="str">
        <f aca="false">IF(OR(G899="",G899=0,H899=""),"",H899/G899)</f>
        <v/>
      </c>
    </row>
    <row r="900" customFormat="false" ht="15" hidden="false" customHeight="false" outlineLevel="0" collapsed="false">
      <c r="A900" s="12"/>
      <c r="B900" s="6"/>
      <c r="C900" s="13" t="str">
        <f aca="false">IF(B900="","",IFERROR(INDEX(สินค้า!$B$2:$B$101,MATCH(B900,สินค้า!$A$2:$A$101,0)),"ไม่พบรหัส"))</f>
        <v/>
      </c>
      <c r="D900" s="14" t="str">
        <f aca="false">IF(B900="","",IFERROR(INDEX(สินค้า!$D$2:$D$101,MATCH(B900,สินค้า!$A$2:$A$101,0)),""))</f>
        <v/>
      </c>
      <c r="E900" s="6"/>
      <c r="F900" s="8"/>
      <c r="G900" s="8"/>
      <c r="H900" s="8"/>
      <c r="I900" s="15"/>
      <c r="J900" s="15"/>
      <c r="K900" s="10" t="str">
        <f aca="false">IF(J900&lt;&gt;"",J900,IF(I900="","",I900*IFERROR(INDEX(สินค้า!$G$2:$G$101,MATCH(B900,สินค้า!$A$2:$A$101,0)),0)))</f>
        <v/>
      </c>
      <c r="L900" s="16" t="str">
        <f aca="false">IF(OR(F900="",F900=0,G900=""),"",G900/F900)</f>
        <v/>
      </c>
      <c r="M900" s="16" t="str">
        <f aca="false">IF(OR(G900="",G900=0,H900=""),"",H900/G900)</f>
        <v/>
      </c>
    </row>
    <row r="901" customFormat="false" ht="15" hidden="false" customHeight="false" outlineLevel="0" collapsed="false">
      <c r="A901" s="12"/>
      <c r="B901" s="6"/>
      <c r="C901" s="13" t="str">
        <f aca="false">IF(B901="","",IFERROR(INDEX(สินค้า!$B$2:$B$101,MATCH(B901,สินค้า!$A$2:$A$101,0)),"ไม่พบรหัส"))</f>
        <v/>
      </c>
      <c r="D901" s="14" t="str">
        <f aca="false">IF(B901="","",IFERROR(INDEX(สินค้า!$D$2:$D$101,MATCH(B901,สินค้า!$A$2:$A$101,0)),""))</f>
        <v/>
      </c>
      <c r="E901" s="6"/>
      <c r="F901" s="8"/>
      <c r="G901" s="8"/>
      <c r="H901" s="8"/>
      <c r="I901" s="15"/>
      <c r="J901" s="15"/>
      <c r="K901" s="10" t="str">
        <f aca="false">IF(J901&lt;&gt;"",J901,IF(I901="","",I901*IFERROR(INDEX(สินค้า!$G$2:$G$101,MATCH(B901,สินค้า!$A$2:$A$101,0)),0)))</f>
        <v/>
      </c>
      <c r="L901" s="16" t="str">
        <f aca="false">IF(OR(F901="",F901=0,G901=""),"",G901/F901)</f>
        <v/>
      </c>
      <c r="M901" s="16" t="str">
        <f aca="false">IF(OR(G901="",G901=0,H901=""),"",H901/G901)</f>
        <v/>
      </c>
    </row>
    <row r="902" customFormat="false" ht="15" hidden="false" customHeight="false" outlineLevel="0" collapsed="false">
      <c r="A902" s="12"/>
      <c r="B902" s="6"/>
      <c r="C902" s="13" t="str">
        <f aca="false">IF(B902="","",IFERROR(INDEX(สินค้า!$B$2:$B$101,MATCH(B902,สินค้า!$A$2:$A$101,0)),"ไม่พบรหัส"))</f>
        <v/>
      </c>
      <c r="D902" s="14" t="str">
        <f aca="false">IF(B902="","",IFERROR(INDEX(สินค้า!$D$2:$D$101,MATCH(B902,สินค้า!$A$2:$A$101,0)),""))</f>
        <v/>
      </c>
      <c r="E902" s="6"/>
      <c r="F902" s="8"/>
      <c r="G902" s="8"/>
      <c r="H902" s="8"/>
      <c r="I902" s="15"/>
      <c r="J902" s="15"/>
      <c r="K902" s="10" t="str">
        <f aca="false">IF(J902&lt;&gt;"",J902,IF(I902="","",I902*IFERROR(INDEX(สินค้า!$G$2:$G$101,MATCH(B902,สินค้า!$A$2:$A$101,0)),0)))</f>
        <v/>
      </c>
      <c r="L902" s="16" t="str">
        <f aca="false">IF(OR(F902="",F902=0,G902=""),"",G902/F902)</f>
        <v/>
      </c>
      <c r="M902" s="16" t="str">
        <f aca="false">IF(OR(G902="",G902=0,H902=""),"",H902/G902)</f>
        <v/>
      </c>
    </row>
    <row r="903" customFormat="false" ht="15" hidden="false" customHeight="false" outlineLevel="0" collapsed="false">
      <c r="A903" s="12"/>
      <c r="B903" s="6"/>
      <c r="C903" s="13" t="str">
        <f aca="false">IF(B903="","",IFERROR(INDEX(สินค้า!$B$2:$B$101,MATCH(B903,สินค้า!$A$2:$A$101,0)),"ไม่พบรหัส"))</f>
        <v/>
      </c>
      <c r="D903" s="14" t="str">
        <f aca="false">IF(B903="","",IFERROR(INDEX(สินค้า!$D$2:$D$101,MATCH(B903,สินค้า!$A$2:$A$101,0)),""))</f>
        <v/>
      </c>
      <c r="E903" s="6"/>
      <c r="F903" s="8"/>
      <c r="G903" s="8"/>
      <c r="H903" s="8"/>
      <c r="I903" s="15"/>
      <c r="J903" s="15"/>
      <c r="K903" s="10" t="str">
        <f aca="false">IF(J903&lt;&gt;"",J903,IF(I903="","",I903*IFERROR(INDEX(สินค้า!$G$2:$G$101,MATCH(B903,สินค้า!$A$2:$A$101,0)),0)))</f>
        <v/>
      </c>
      <c r="L903" s="16" t="str">
        <f aca="false">IF(OR(F903="",F903=0,G903=""),"",G903/F903)</f>
        <v/>
      </c>
      <c r="M903" s="16" t="str">
        <f aca="false">IF(OR(G903="",G903=0,H903=""),"",H903/G903)</f>
        <v/>
      </c>
    </row>
    <row r="904" customFormat="false" ht="15" hidden="false" customHeight="false" outlineLevel="0" collapsed="false">
      <c r="A904" s="12"/>
      <c r="B904" s="6"/>
      <c r="C904" s="13" t="str">
        <f aca="false">IF(B904="","",IFERROR(INDEX(สินค้า!$B$2:$B$101,MATCH(B904,สินค้า!$A$2:$A$101,0)),"ไม่พบรหัส"))</f>
        <v/>
      </c>
      <c r="D904" s="14" t="str">
        <f aca="false">IF(B904="","",IFERROR(INDEX(สินค้า!$D$2:$D$101,MATCH(B904,สินค้า!$A$2:$A$101,0)),""))</f>
        <v/>
      </c>
      <c r="E904" s="6"/>
      <c r="F904" s="8"/>
      <c r="G904" s="8"/>
      <c r="H904" s="8"/>
      <c r="I904" s="15"/>
      <c r="J904" s="15"/>
      <c r="K904" s="10" t="str">
        <f aca="false">IF(J904&lt;&gt;"",J904,IF(I904="","",I904*IFERROR(INDEX(สินค้า!$G$2:$G$101,MATCH(B904,สินค้า!$A$2:$A$101,0)),0)))</f>
        <v/>
      </c>
      <c r="L904" s="16" t="str">
        <f aca="false">IF(OR(F904="",F904=0,G904=""),"",G904/F904)</f>
        <v/>
      </c>
      <c r="M904" s="16" t="str">
        <f aca="false">IF(OR(G904="",G904=0,H904=""),"",H904/G904)</f>
        <v/>
      </c>
    </row>
    <row r="905" customFormat="false" ht="15" hidden="false" customHeight="false" outlineLevel="0" collapsed="false">
      <c r="A905" s="12"/>
      <c r="B905" s="6"/>
      <c r="C905" s="13" t="str">
        <f aca="false">IF(B905="","",IFERROR(INDEX(สินค้า!$B$2:$B$101,MATCH(B905,สินค้า!$A$2:$A$101,0)),"ไม่พบรหัส"))</f>
        <v/>
      </c>
      <c r="D905" s="14" t="str">
        <f aca="false">IF(B905="","",IFERROR(INDEX(สินค้า!$D$2:$D$101,MATCH(B905,สินค้า!$A$2:$A$101,0)),""))</f>
        <v/>
      </c>
      <c r="E905" s="6"/>
      <c r="F905" s="8"/>
      <c r="G905" s="8"/>
      <c r="H905" s="8"/>
      <c r="I905" s="15"/>
      <c r="J905" s="15"/>
      <c r="K905" s="10" t="str">
        <f aca="false">IF(J905&lt;&gt;"",J905,IF(I905="","",I905*IFERROR(INDEX(สินค้า!$G$2:$G$101,MATCH(B905,สินค้า!$A$2:$A$101,0)),0)))</f>
        <v/>
      </c>
      <c r="L905" s="16" t="str">
        <f aca="false">IF(OR(F905="",F905=0,G905=""),"",G905/F905)</f>
        <v/>
      </c>
      <c r="M905" s="16" t="str">
        <f aca="false">IF(OR(G905="",G905=0,H905=""),"",H905/G905)</f>
        <v/>
      </c>
    </row>
    <row r="906" customFormat="false" ht="15" hidden="false" customHeight="false" outlineLevel="0" collapsed="false">
      <c r="A906" s="12"/>
      <c r="B906" s="6"/>
      <c r="C906" s="13" t="str">
        <f aca="false">IF(B906="","",IFERROR(INDEX(สินค้า!$B$2:$B$101,MATCH(B906,สินค้า!$A$2:$A$101,0)),"ไม่พบรหัส"))</f>
        <v/>
      </c>
      <c r="D906" s="14" t="str">
        <f aca="false">IF(B906="","",IFERROR(INDEX(สินค้า!$D$2:$D$101,MATCH(B906,สินค้า!$A$2:$A$101,0)),""))</f>
        <v/>
      </c>
      <c r="E906" s="6"/>
      <c r="F906" s="8"/>
      <c r="G906" s="8"/>
      <c r="H906" s="8"/>
      <c r="I906" s="15"/>
      <c r="J906" s="15"/>
      <c r="K906" s="10" t="str">
        <f aca="false">IF(J906&lt;&gt;"",J906,IF(I906="","",I906*IFERROR(INDEX(สินค้า!$G$2:$G$101,MATCH(B906,สินค้า!$A$2:$A$101,0)),0)))</f>
        <v/>
      </c>
      <c r="L906" s="16" t="str">
        <f aca="false">IF(OR(F906="",F906=0,G906=""),"",G906/F906)</f>
        <v/>
      </c>
      <c r="M906" s="16" t="str">
        <f aca="false">IF(OR(G906="",G906=0,H906=""),"",H906/G906)</f>
        <v/>
      </c>
    </row>
    <row r="907" customFormat="false" ht="15" hidden="false" customHeight="false" outlineLevel="0" collapsed="false">
      <c r="A907" s="12"/>
      <c r="B907" s="6"/>
      <c r="C907" s="13" t="str">
        <f aca="false">IF(B907="","",IFERROR(INDEX(สินค้า!$B$2:$B$101,MATCH(B907,สินค้า!$A$2:$A$101,0)),"ไม่พบรหัส"))</f>
        <v/>
      </c>
      <c r="D907" s="14" t="str">
        <f aca="false">IF(B907="","",IFERROR(INDEX(สินค้า!$D$2:$D$101,MATCH(B907,สินค้า!$A$2:$A$101,0)),""))</f>
        <v/>
      </c>
      <c r="E907" s="6"/>
      <c r="F907" s="8"/>
      <c r="G907" s="8"/>
      <c r="H907" s="8"/>
      <c r="I907" s="15"/>
      <c r="J907" s="15"/>
      <c r="K907" s="10" t="str">
        <f aca="false">IF(J907&lt;&gt;"",J907,IF(I907="","",I907*IFERROR(INDEX(สินค้า!$G$2:$G$101,MATCH(B907,สินค้า!$A$2:$A$101,0)),0)))</f>
        <v/>
      </c>
      <c r="L907" s="16" t="str">
        <f aca="false">IF(OR(F907="",F907=0,G907=""),"",G907/F907)</f>
        <v/>
      </c>
      <c r="M907" s="16" t="str">
        <f aca="false">IF(OR(G907="",G907=0,H907=""),"",H907/G907)</f>
        <v/>
      </c>
    </row>
    <row r="908" customFormat="false" ht="15" hidden="false" customHeight="false" outlineLevel="0" collapsed="false">
      <c r="A908" s="12"/>
      <c r="B908" s="6"/>
      <c r="C908" s="13" t="str">
        <f aca="false">IF(B908="","",IFERROR(INDEX(สินค้า!$B$2:$B$101,MATCH(B908,สินค้า!$A$2:$A$101,0)),"ไม่พบรหัส"))</f>
        <v/>
      </c>
      <c r="D908" s="14" t="str">
        <f aca="false">IF(B908="","",IFERROR(INDEX(สินค้า!$D$2:$D$101,MATCH(B908,สินค้า!$A$2:$A$101,0)),""))</f>
        <v/>
      </c>
      <c r="E908" s="6"/>
      <c r="F908" s="8"/>
      <c r="G908" s="8"/>
      <c r="H908" s="8"/>
      <c r="I908" s="15"/>
      <c r="J908" s="15"/>
      <c r="K908" s="10" t="str">
        <f aca="false">IF(J908&lt;&gt;"",J908,IF(I908="","",I908*IFERROR(INDEX(สินค้า!$G$2:$G$101,MATCH(B908,สินค้า!$A$2:$A$101,0)),0)))</f>
        <v/>
      </c>
      <c r="L908" s="16" t="str">
        <f aca="false">IF(OR(F908="",F908=0,G908=""),"",G908/F908)</f>
        <v/>
      </c>
      <c r="M908" s="16" t="str">
        <f aca="false">IF(OR(G908="",G908=0,H908=""),"",H908/G908)</f>
        <v/>
      </c>
    </row>
    <row r="909" customFormat="false" ht="15" hidden="false" customHeight="false" outlineLevel="0" collapsed="false">
      <c r="A909" s="12"/>
      <c r="B909" s="6"/>
      <c r="C909" s="13" t="str">
        <f aca="false">IF(B909="","",IFERROR(INDEX(สินค้า!$B$2:$B$101,MATCH(B909,สินค้า!$A$2:$A$101,0)),"ไม่พบรหัส"))</f>
        <v/>
      </c>
      <c r="D909" s="14" t="str">
        <f aca="false">IF(B909="","",IFERROR(INDEX(สินค้า!$D$2:$D$101,MATCH(B909,สินค้า!$A$2:$A$101,0)),""))</f>
        <v/>
      </c>
      <c r="E909" s="6"/>
      <c r="F909" s="8"/>
      <c r="G909" s="8"/>
      <c r="H909" s="8"/>
      <c r="I909" s="15"/>
      <c r="J909" s="15"/>
      <c r="K909" s="10" t="str">
        <f aca="false">IF(J909&lt;&gt;"",J909,IF(I909="","",I909*IFERROR(INDEX(สินค้า!$G$2:$G$101,MATCH(B909,สินค้า!$A$2:$A$101,0)),0)))</f>
        <v/>
      </c>
      <c r="L909" s="16" t="str">
        <f aca="false">IF(OR(F909="",F909=0,G909=""),"",G909/F909)</f>
        <v/>
      </c>
      <c r="M909" s="16" t="str">
        <f aca="false">IF(OR(G909="",G909=0,H909=""),"",H909/G909)</f>
        <v/>
      </c>
    </row>
    <row r="910" customFormat="false" ht="15" hidden="false" customHeight="false" outlineLevel="0" collapsed="false">
      <c r="A910" s="12"/>
      <c r="B910" s="6"/>
      <c r="C910" s="13" t="str">
        <f aca="false">IF(B910="","",IFERROR(INDEX(สินค้า!$B$2:$B$101,MATCH(B910,สินค้า!$A$2:$A$101,0)),"ไม่พบรหัส"))</f>
        <v/>
      </c>
      <c r="D910" s="14" t="str">
        <f aca="false">IF(B910="","",IFERROR(INDEX(สินค้า!$D$2:$D$101,MATCH(B910,สินค้า!$A$2:$A$101,0)),""))</f>
        <v/>
      </c>
      <c r="E910" s="6"/>
      <c r="F910" s="8"/>
      <c r="G910" s="8"/>
      <c r="H910" s="8"/>
      <c r="I910" s="15"/>
      <c r="J910" s="15"/>
      <c r="K910" s="10" t="str">
        <f aca="false">IF(J910&lt;&gt;"",J910,IF(I910="","",I910*IFERROR(INDEX(สินค้า!$G$2:$G$101,MATCH(B910,สินค้า!$A$2:$A$101,0)),0)))</f>
        <v/>
      </c>
      <c r="L910" s="16" t="str">
        <f aca="false">IF(OR(F910="",F910=0,G910=""),"",G910/F910)</f>
        <v/>
      </c>
      <c r="M910" s="16" t="str">
        <f aca="false">IF(OR(G910="",G910=0,H910=""),"",H910/G910)</f>
        <v/>
      </c>
    </row>
    <row r="911" customFormat="false" ht="15" hidden="false" customHeight="false" outlineLevel="0" collapsed="false">
      <c r="A911" s="12"/>
      <c r="B911" s="6"/>
      <c r="C911" s="13" t="str">
        <f aca="false">IF(B911="","",IFERROR(INDEX(สินค้า!$B$2:$B$101,MATCH(B911,สินค้า!$A$2:$A$101,0)),"ไม่พบรหัส"))</f>
        <v/>
      </c>
      <c r="D911" s="14" t="str">
        <f aca="false">IF(B911="","",IFERROR(INDEX(สินค้า!$D$2:$D$101,MATCH(B911,สินค้า!$A$2:$A$101,0)),""))</f>
        <v/>
      </c>
      <c r="E911" s="6"/>
      <c r="F911" s="8"/>
      <c r="G911" s="8"/>
      <c r="H911" s="8"/>
      <c r="I911" s="15"/>
      <c r="J911" s="15"/>
      <c r="K911" s="10" t="str">
        <f aca="false">IF(J911&lt;&gt;"",J911,IF(I911="","",I911*IFERROR(INDEX(สินค้า!$G$2:$G$101,MATCH(B911,สินค้า!$A$2:$A$101,0)),0)))</f>
        <v/>
      </c>
      <c r="L911" s="16" t="str">
        <f aca="false">IF(OR(F911="",F911=0,G911=""),"",G911/F911)</f>
        <v/>
      </c>
      <c r="M911" s="16" t="str">
        <f aca="false">IF(OR(G911="",G911=0,H911=""),"",H911/G911)</f>
        <v/>
      </c>
    </row>
    <row r="912" customFormat="false" ht="15" hidden="false" customHeight="false" outlineLevel="0" collapsed="false">
      <c r="A912" s="12"/>
      <c r="B912" s="6"/>
      <c r="C912" s="13" t="str">
        <f aca="false">IF(B912="","",IFERROR(INDEX(สินค้า!$B$2:$B$101,MATCH(B912,สินค้า!$A$2:$A$101,0)),"ไม่พบรหัส"))</f>
        <v/>
      </c>
      <c r="D912" s="14" t="str">
        <f aca="false">IF(B912="","",IFERROR(INDEX(สินค้า!$D$2:$D$101,MATCH(B912,สินค้า!$A$2:$A$101,0)),""))</f>
        <v/>
      </c>
      <c r="E912" s="6"/>
      <c r="F912" s="8"/>
      <c r="G912" s="8"/>
      <c r="H912" s="8"/>
      <c r="I912" s="15"/>
      <c r="J912" s="15"/>
      <c r="K912" s="10" t="str">
        <f aca="false">IF(J912&lt;&gt;"",J912,IF(I912="","",I912*IFERROR(INDEX(สินค้า!$G$2:$G$101,MATCH(B912,สินค้า!$A$2:$A$101,0)),0)))</f>
        <v/>
      </c>
      <c r="L912" s="16" t="str">
        <f aca="false">IF(OR(F912="",F912=0,G912=""),"",G912/F912)</f>
        <v/>
      </c>
      <c r="M912" s="16" t="str">
        <f aca="false">IF(OR(G912="",G912=0,H912=""),"",H912/G912)</f>
        <v/>
      </c>
    </row>
    <row r="913" customFormat="false" ht="15" hidden="false" customHeight="false" outlineLevel="0" collapsed="false">
      <c r="A913" s="12"/>
      <c r="B913" s="6"/>
      <c r="C913" s="13" t="str">
        <f aca="false">IF(B913="","",IFERROR(INDEX(สินค้า!$B$2:$B$101,MATCH(B913,สินค้า!$A$2:$A$101,0)),"ไม่พบรหัส"))</f>
        <v/>
      </c>
      <c r="D913" s="14" t="str">
        <f aca="false">IF(B913="","",IFERROR(INDEX(สินค้า!$D$2:$D$101,MATCH(B913,สินค้า!$A$2:$A$101,0)),""))</f>
        <v/>
      </c>
      <c r="E913" s="6"/>
      <c r="F913" s="8"/>
      <c r="G913" s="8"/>
      <c r="H913" s="8"/>
      <c r="I913" s="15"/>
      <c r="J913" s="15"/>
      <c r="K913" s="10" t="str">
        <f aca="false">IF(J913&lt;&gt;"",J913,IF(I913="","",I913*IFERROR(INDEX(สินค้า!$G$2:$G$101,MATCH(B913,สินค้า!$A$2:$A$101,0)),0)))</f>
        <v/>
      </c>
      <c r="L913" s="16" t="str">
        <f aca="false">IF(OR(F913="",F913=0,G913=""),"",G913/F913)</f>
        <v/>
      </c>
      <c r="M913" s="16" t="str">
        <f aca="false">IF(OR(G913="",G913=0,H913=""),"",H913/G913)</f>
        <v/>
      </c>
    </row>
    <row r="914" customFormat="false" ht="15" hidden="false" customHeight="false" outlineLevel="0" collapsed="false">
      <c r="A914" s="12"/>
      <c r="B914" s="6"/>
      <c r="C914" s="13" t="str">
        <f aca="false">IF(B914="","",IFERROR(INDEX(สินค้า!$B$2:$B$101,MATCH(B914,สินค้า!$A$2:$A$101,0)),"ไม่พบรหัส"))</f>
        <v/>
      </c>
      <c r="D914" s="14" t="str">
        <f aca="false">IF(B914="","",IFERROR(INDEX(สินค้า!$D$2:$D$101,MATCH(B914,สินค้า!$A$2:$A$101,0)),""))</f>
        <v/>
      </c>
      <c r="E914" s="6"/>
      <c r="F914" s="8"/>
      <c r="G914" s="8"/>
      <c r="H914" s="8"/>
      <c r="I914" s="15"/>
      <c r="J914" s="15"/>
      <c r="K914" s="10" t="str">
        <f aca="false">IF(J914&lt;&gt;"",J914,IF(I914="","",I914*IFERROR(INDEX(สินค้า!$G$2:$G$101,MATCH(B914,สินค้า!$A$2:$A$101,0)),0)))</f>
        <v/>
      </c>
      <c r="L914" s="16" t="str">
        <f aca="false">IF(OR(F914="",F914=0,G914=""),"",G914/F914)</f>
        <v/>
      </c>
      <c r="M914" s="16" t="str">
        <f aca="false">IF(OR(G914="",G914=0,H914=""),"",H914/G914)</f>
        <v/>
      </c>
    </row>
    <row r="915" customFormat="false" ht="15" hidden="false" customHeight="false" outlineLevel="0" collapsed="false">
      <c r="A915" s="12"/>
      <c r="B915" s="6"/>
      <c r="C915" s="13" t="str">
        <f aca="false">IF(B915="","",IFERROR(INDEX(สินค้า!$B$2:$B$101,MATCH(B915,สินค้า!$A$2:$A$101,0)),"ไม่พบรหัส"))</f>
        <v/>
      </c>
      <c r="D915" s="14" t="str">
        <f aca="false">IF(B915="","",IFERROR(INDEX(สินค้า!$D$2:$D$101,MATCH(B915,สินค้า!$A$2:$A$101,0)),""))</f>
        <v/>
      </c>
      <c r="E915" s="6"/>
      <c r="F915" s="8"/>
      <c r="G915" s="8"/>
      <c r="H915" s="8"/>
      <c r="I915" s="15"/>
      <c r="J915" s="15"/>
      <c r="K915" s="10" t="str">
        <f aca="false">IF(J915&lt;&gt;"",J915,IF(I915="","",I915*IFERROR(INDEX(สินค้า!$G$2:$G$101,MATCH(B915,สินค้า!$A$2:$A$101,0)),0)))</f>
        <v/>
      </c>
      <c r="L915" s="16" t="str">
        <f aca="false">IF(OR(F915="",F915=0,G915=""),"",G915/F915)</f>
        <v/>
      </c>
      <c r="M915" s="16" t="str">
        <f aca="false">IF(OR(G915="",G915=0,H915=""),"",H915/G915)</f>
        <v/>
      </c>
    </row>
    <row r="916" customFormat="false" ht="15" hidden="false" customHeight="false" outlineLevel="0" collapsed="false">
      <c r="A916" s="12"/>
      <c r="B916" s="6"/>
      <c r="C916" s="13" t="str">
        <f aca="false">IF(B916="","",IFERROR(INDEX(สินค้า!$B$2:$B$101,MATCH(B916,สินค้า!$A$2:$A$101,0)),"ไม่พบรหัส"))</f>
        <v/>
      </c>
      <c r="D916" s="14" t="str">
        <f aca="false">IF(B916="","",IFERROR(INDEX(สินค้า!$D$2:$D$101,MATCH(B916,สินค้า!$A$2:$A$101,0)),""))</f>
        <v/>
      </c>
      <c r="E916" s="6"/>
      <c r="F916" s="8"/>
      <c r="G916" s="8"/>
      <c r="H916" s="8"/>
      <c r="I916" s="15"/>
      <c r="J916" s="15"/>
      <c r="K916" s="10" t="str">
        <f aca="false">IF(J916&lt;&gt;"",J916,IF(I916="","",I916*IFERROR(INDEX(สินค้า!$G$2:$G$101,MATCH(B916,สินค้า!$A$2:$A$101,0)),0)))</f>
        <v/>
      </c>
      <c r="L916" s="16" t="str">
        <f aca="false">IF(OR(F916="",F916=0,G916=""),"",G916/F916)</f>
        <v/>
      </c>
      <c r="M916" s="16" t="str">
        <f aca="false">IF(OR(G916="",G916=0,H916=""),"",H916/G916)</f>
        <v/>
      </c>
    </row>
    <row r="917" customFormat="false" ht="15" hidden="false" customHeight="false" outlineLevel="0" collapsed="false">
      <c r="A917" s="12"/>
      <c r="B917" s="6"/>
      <c r="C917" s="13" t="str">
        <f aca="false">IF(B917="","",IFERROR(INDEX(สินค้า!$B$2:$B$101,MATCH(B917,สินค้า!$A$2:$A$101,0)),"ไม่พบรหัส"))</f>
        <v/>
      </c>
      <c r="D917" s="14" t="str">
        <f aca="false">IF(B917="","",IFERROR(INDEX(สินค้า!$D$2:$D$101,MATCH(B917,สินค้า!$A$2:$A$101,0)),""))</f>
        <v/>
      </c>
      <c r="E917" s="6"/>
      <c r="F917" s="8"/>
      <c r="G917" s="8"/>
      <c r="H917" s="8"/>
      <c r="I917" s="15"/>
      <c r="J917" s="15"/>
      <c r="K917" s="10" t="str">
        <f aca="false">IF(J917&lt;&gt;"",J917,IF(I917="","",I917*IFERROR(INDEX(สินค้า!$G$2:$G$101,MATCH(B917,สินค้า!$A$2:$A$101,0)),0)))</f>
        <v/>
      </c>
      <c r="L917" s="16" t="str">
        <f aca="false">IF(OR(F917="",F917=0,G917=""),"",G917/F917)</f>
        <v/>
      </c>
      <c r="M917" s="16" t="str">
        <f aca="false">IF(OR(G917="",G917=0,H917=""),"",H917/G917)</f>
        <v/>
      </c>
    </row>
    <row r="918" customFormat="false" ht="15" hidden="false" customHeight="false" outlineLevel="0" collapsed="false">
      <c r="A918" s="12"/>
      <c r="B918" s="6"/>
      <c r="C918" s="13" t="str">
        <f aca="false">IF(B918="","",IFERROR(INDEX(สินค้า!$B$2:$B$101,MATCH(B918,สินค้า!$A$2:$A$101,0)),"ไม่พบรหัส"))</f>
        <v/>
      </c>
      <c r="D918" s="14" t="str">
        <f aca="false">IF(B918="","",IFERROR(INDEX(สินค้า!$D$2:$D$101,MATCH(B918,สินค้า!$A$2:$A$101,0)),""))</f>
        <v/>
      </c>
      <c r="E918" s="6"/>
      <c r="F918" s="8"/>
      <c r="G918" s="8"/>
      <c r="H918" s="8"/>
      <c r="I918" s="15"/>
      <c r="J918" s="15"/>
      <c r="K918" s="10" t="str">
        <f aca="false">IF(J918&lt;&gt;"",J918,IF(I918="","",I918*IFERROR(INDEX(สินค้า!$G$2:$G$101,MATCH(B918,สินค้า!$A$2:$A$101,0)),0)))</f>
        <v/>
      </c>
      <c r="L918" s="16" t="str">
        <f aca="false">IF(OR(F918="",F918=0,G918=""),"",G918/F918)</f>
        <v/>
      </c>
      <c r="M918" s="16" t="str">
        <f aca="false">IF(OR(G918="",G918=0,H918=""),"",H918/G918)</f>
        <v/>
      </c>
    </row>
    <row r="919" customFormat="false" ht="15" hidden="false" customHeight="false" outlineLevel="0" collapsed="false">
      <c r="A919" s="12"/>
      <c r="B919" s="6"/>
      <c r="C919" s="13" t="str">
        <f aca="false">IF(B919="","",IFERROR(INDEX(สินค้า!$B$2:$B$101,MATCH(B919,สินค้า!$A$2:$A$101,0)),"ไม่พบรหัส"))</f>
        <v/>
      </c>
      <c r="D919" s="14" t="str">
        <f aca="false">IF(B919="","",IFERROR(INDEX(สินค้า!$D$2:$D$101,MATCH(B919,สินค้า!$A$2:$A$101,0)),""))</f>
        <v/>
      </c>
      <c r="E919" s="6"/>
      <c r="F919" s="8"/>
      <c r="G919" s="8"/>
      <c r="H919" s="8"/>
      <c r="I919" s="15"/>
      <c r="J919" s="15"/>
      <c r="K919" s="10" t="str">
        <f aca="false">IF(J919&lt;&gt;"",J919,IF(I919="","",I919*IFERROR(INDEX(สินค้า!$G$2:$G$101,MATCH(B919,สินค้า!$A$2:$A$101,0)),0)))</f>
        <v/>
      </c>
      <c r="L919" s="16" t="str">
        <f aca="false">IF(OR(F919="",F919=0,G919=""),"",G919/F919)</f>
        <v/>
      </c>
      <c r="M919" s="16" t="str">
        <f aca="false">IF(OR(G919="",G919=0,H919=""),"",H919/G919)</f>
        <v/>
      </c>
    </row>
    <row r="920" customFormat="false" ht="15" hidden="false" customHeight="false" outlineLevel="0" collapsed="false">
      <c r="A920" s="12"/>
      <c r="B920" s="6"/>
      <c r="C920" s="13" t="str">
        <f aca="false">IF(B920="","",IFERROR(INDEX(สินค้า!$B$2:$B$101,MATCH(B920,สินค้า!$A$2:$A$101,0)),"ไม่พบรหัส"))</f>
        <v/>
      </c>
      <c r="D920" s="14" t="str">
        <f aca="false">IF(B920="","",IFERROR(INDEX(สินค้า!$D$2:$D$101,MATCH(B920,สินค้า!$A$2:$A$101,0)),""))</f>
        <v/>
      </c>
      <c r="E920" s="6"/>
      <c r="F920" s="8"/>
      <c r="G920" s="8"/>
      <c r="H920" s="8"/>
      <c r="I920" s="15"/>
      <c r="J920" s="15"/>
      <c r="K920" s="10" t="str">
        <f aca="false">IF(J920&lt;&gt;"",J920,IF(I920="","",I920*IFERROR(INDEX(สินค้า!$G$2:$G$101,MATCH(B920,สินค้า!$A$2:$A$101,0)),0)))</f>
        <v/>
      </c>
      <c r="L920" s="16" t="str">
        <f aca="false">IF(OR(F920="",F920=0,G920=""),"",G920/F920)</f>
        <v/>
      </c>
      <c r="M920" s="16" t="str">
        <f aca="false">IF(OR(G920="",G920=0,H920=""),"",H920/G920)</f>
        <v/>
      </c>
    </row>
    <row r="921" customFormat="false" ht="15" hidden="false" customHeight="false" outlineLevel="0" collapsed="false">
      <c r="A921" s="12"/>
      <c r="B921" s="6"/>
      <c r="C921" s="13" t="str">
        <f aca="false">IF(B921="","",IFERROR(INDEX(สินค้า!$B$2:$B$101,MATCH(B921,สินค้า!$A$2:$A$101,0)),"ไม่พบรหัส"))</f>
        <v/>
      </c>
      <c r="D921" s="14" t="str">
        <f aca="false">IF(B921="","",IFERROR(INDEX(สินค้า!$D$2:$D$101,MATCH(B921,สินค้า!$A$2:$A$101,0)),""))</f>
        <v/>
      </c>
      <c r="E921" s="6"/>
      <c r="F921" s="8"/>
      <c r="G921" s="8"/>
      <c r="H921" s="8"/>
      <c r="I921" s="15"/>
      <c r="J921" s="15"/>
      <c r="K921" s="10" t="str">
        <f aca="false">IF(J921&lt;&gt;"",J921,IF(I921="","",I921*IFERROR(INDEX(สินค้า!$G$2:$G$101,MATCH(B921,สินค้า!$A$2:$A$101,0)),0)))</f>
        <v/>
      </c>
      <c r="L921" s="16" t="str">
        <f aca="false">IF(OR(F921="",F921=0,G921=""),"",G921/F921)</f>
        <v/>
      </c>
      <c r="M921" s="16" t="str">
        <f aca="false">IF(OR(G921="",G921=0,H921=""),"",H921/G921)</f>
        <v/>
      </c>
    </row>
    <row r="922" customFormat="false" ht="15" hidden="false" customHeight="false" outlineLevel="0" collapsed="false">
      <c r="A922" s="12"/>
      <c r="B922" s="6"/>
      <c r="C922" s="13" t="str">
        <f aca="false">IF(B922="","",IFERROR(INDEX(สินค้า!$B$2:$B$101,MATCH(B922,สินค้า!$A$2:$A$101,0)),"ไม่พบรหัส"))</f>
        <v/>
      </c>
      <c r="D922" s="14" t="str">
        <f aca="false">IF(B922="","",IFERROR(INDEX(สินค้า!$D$2:$D$101,MATCH(B922,สินค้า!$A$2:$A$101,0)),""))</f>
        <v/>
      </c>
      <c r="E922" s="6"/>
      <c r="F922" s="8"/>
      <c r="G922" s="8"/>
      <c r="H922" s="8"/>
      <c r="I922" s="15"/>
      <c r="J922" s="15"/>
      <c r="K922" s="10" t="str">
        <f aca="false">IF(J922&lt;&gt;"",J922,IF(I922="","",I922*IFERROR(INDEX(สินค้า!$G$2:$G$101,MATCH(B922,สินค้า!$A$2:$A$101,0)),0)))</f>
        <v/>
      </c>
      <c r="L922" s="16" t="str">
        <f aca="false">IF(OR(F922="",F922=0,G922=""),"",G922/F922)</f>
        <v/>
      </c>
      <c r="M922" s="16" t="str">
        <f aca="false">IF(OR(G922="",G922=0,H922=""),"",H922/G922)</f>
        <v/>
      </c>
    </row>
    <row r="923" customFormat="false" ht="15" hidden="false" customHeight="false" outlineLevel="0" collapsed="false">
      <c r="A923" s="12"/>
      <c r="B923" s="6"/>
      <c r="C923" s="13" t="str">
        <f aca="false">IF(B923="","",IFERROR(INDEX(สินค้า!$B$2:$B$101,MATCH(B923,สินค้า!$A$2:$A$101,0)),"ไม่พบรหัส"))</f>
        <v/>
      </c>
      <c r="D923" s="14" t="str">
        <f aca="false">IF(B923="","",IFERROR(INDEX(สินค้า!$D$2:$D$101,MATCH(B923,สินค้า!$A$2:$A$101,0)),""))</f>
        <v/>
      </c>
      <c r="E923" s="6"/>
      <c r="F923" s="8"/>
      <c r="G923" s="8"/>
      <c r="H923" s="8"/>
      <c r="I923" s="15"/>
      <c r="J923" s="15"/>
      <c r="K923" s="10" t="str">
        <f aca="false">IF(J923&lt;&gt;"",J923,IF(I923="","",I923*IFERROR(INDEX(สินค้า!$G$2:$G$101,MATCH(B923,สินค้า!$A$2:$A$101,0)),0)))</f>
        <v/>
      </c>
      <c r="L923" s="16" t="str">
        <f aca="false">IF(OR(F923="",F923=0,G923=""),"",G923/F923)</f>
        <v/>
      </c>
      <c r="M923" s="16" t="str">
        <f aca="false">IF(OR(G923="",G923=0,H923=""),"",H923/G923)</f>
        <v/>
      </c>
    </row>
    <row r="924" customFormat="false" ht="15" hidden="false" customHeight="false" outlineLevel="0" collapsed="false">
      <c r="A924" s="12"/>
      <c r="B924" s="6"/>
      <c r="C924" s="13" t="str">
        <f aca="false">IF(B924="","",IFERROR(INDEX(สินค้า!$B$2:$B$101,MATCH(B924,สินค้า!$A$2:$A$101,0)),"ไม่พบรหัส"))</f>
        <v/>
      </c>
      <c r="D924" s="14" t="str">
        <f aca="false">IF(B924="","",IFERROR(INDEX(สินค้า!$D$2:$D$101,MATCH(B924,สินค้า!$A$2:$A$101,0)),""))</f>
        <v/>
      </c>
      <c r="E924" s="6"/>
      <c r="F924" s="8"/>
      <c r="G924" s="8"/>
      <c r="H924" s="8"/>
      <c r="I924" s="15"/>
      <c r="J924" s="15"/>
      <c r="K924" s="10" t="str">
        <f aca="false">IF(J924&lt;&gt;"",J924,IF(I924="","",I924*IFERROR(INDEX(สินค้า!$G$2:$G$101,MATCH(B924,สินค้า!$A$2:$A$101,0)),0)))</f>
        <v/>
      </c>
      <c r="L924" s="16" t="str">
        <f aca="false">IF(OR(F924="",F924=0,G924=""),"",G924/F924)</f>
        <v/>
      </c>
      <c r="M924" s="16" t="str">
        <f aca="false">IF(OR(G924="",G924=0,H924=""),"",H924/G924)</f>
        <v/>
      </c>
    </row>
    <row r="925" customFormat="false" ht="15" hidden="false" customHeight="false" outlineLevel="0" collapsed="false">
      <c r="A925" s="12"/>
      <c r="B925" s="6"/>
      <c r="C925" s="13" t="str">
        <f aca="false">IF(B925="","",IFERROR(INDEX(สินค้า!$B$2:$B$101,MATCH(B925,สินค้า!$A$2:$A$101,0)),"ไม่พบรหัส"))</f>
        <v/>
      </c>
      <c r="D925" s="14" t="str">
        <f aca="false">IF(B925="","",IFERROR(INDEX(สินค้า!$D$2:$D$101,MATCH(B925,สินค้า!$A$2:$A$101,0)),""))</f>
        <v/>
      </c>
      <c r="E925" s="6"/>
      <c r="F925" s="8"/>
      <c r="G925" s="8"/>
      <c r="H925" s="8"/>
      <c r="I925" s="15"/>
      <c r="J925" s="15"/>
      <c r="K925" s="10" t="str">
        <f aca="false">IF(J925&lt;&gt;"",J925,IF(I925="","",I925*IFERROR(INDEX(สินค้า!$G$2:$G$101,MATCH(B925,สินค้า!$A$2:$A$101,0)),0)))</f>
        <v/>
      </c>
      <c r="L925" s="16" t="str">
        <f aca="false">IF(OR(F925="",F925=0,G925=""),"",G925/F925)</f>
        <v/>
      </c>
      <c r="M925" s="16" t="str">
        <f aca="false">IF(OR(G925="",G925=0,H925=""),"",H925/G925)</f>
        <v/>
      </c>
    </row>
    <row r="926" customFormat="false" ht="15" hidden="false" customHeight="false" outlineLevel="0" collapsed="false">
      <c r="A926" s="12"/>
      <c r="B926" s="6"/>
      <c r="C926" s="13" t="str">
        <f aca="false">IF(B926="","",IFERROR(INDEX(สินค้า!$B$2:$B$101,MATCH(B926,สินค้า!$A$2:$A$101,0)),"ไม่พบรหัส"))</f>
        <v/>
      </c>
      <c r="D926" s="14" t="str">
        <f aca="false">IF(B926="","",IFERROR(INDEX(สินค้า!$D$2:$D$101,MATCH(B926,สินค้า!$A$2:$A$101,0)),""))</f>
        <v/>
      </c>
      <c r="E926" s="6"/>
      <c r="F926" s="8"/>
      <c r="G926" s="8"/>
      <c r="H926" s="8"/>
      <c r="I926" s="15"/>
      <c r="J926" s="15"/>
      <c r="K926" s="10" t="str">
        <f aca="false">IF(J926&lt;&gt;"",J926,IF(I926="","",I926*IFERROR(INDEX(สินค้า!$G$2:$G$101,MATCH(B926,สินค้า!$A$2:$A$101,0)),0)))</f>
        <v/>
      </c>
      <c r="L926" s="16" t="str">
        <f aca="false">IF(OR(F926="",F926=0,G926=""),"",G926/F926)</f>
        <v/>
      </c>
      <c r="M926" s="16" t="str">
        <f aca="false">IF(OR(G926="",G926=0,H926=""),"",H926/G926)</f>
        <v/>
      </c>
    </row>
    <row r="927" customFormat="false" ht="15" hidden="false" customHeight="false" outlineLevel="0" collapsed="false">
      <c r="A927" s="12"/>
      <c r="B927" s="6"/>
      <c r="C927" s="13" t="str">
        <f aca="false">IF(B927="","",IFERROR(INDEX(สินค้า!$B$2:$B$101,MATCH(B927,สินค้า!$A$2:$A$101,0)),"ไม่พบรหัส"))</f>
        <v/>
      </c>
      <c r="D927" s="14" t="str">
        <f aca="false">IF(B927="","",IFERROR(INDEX(สินค้า!$D$2:$D$101,MATCH(B927,สินค้า!$A$2:$A$101,0)),""))</f>
        <v/>
      </c>
      <c r="E927" s="6"/>
      <c r="F927" s="8"/>
      <c r="G927" s="8"/>
      <c r="H927" s="8"/>
      <c r="I927" s="15"/>
      <c r="J927" s="15"/>
      <c r="K927" s="10" t="str">
        <f aca="false">IF(J927&lt;&gt;"",J927,IF(I927="","",I927*IFERROR(INDEX(สินค้า!$G$2:$G$101,MATCH(B927,สินค้า!$A$2:$A$101,0)),0)))</f>
        <v/>
      </c>
      <c r="L927" s="16" t="str">
        <f aca="false">IF(OR(F927="",F927=0,G927=""),"",G927/F927)</f>
        <v/>
      </c>
      <c r="M927" s="16" t="str">
        <f aca="false">IF(OR(G927="",G927=0,H927=""),"",H927/G927)</f>
        <v/>
      </c>
    </row>
    <row r="928" customFormat="false" ht="15" hidden="false" customHeight="false" outlineLevel="0" collapsed="false">
      <c r="A928" s="12"/>
      <c r="B928" s="6"/>
      <c r="C928" s="13" t="str">
        <f aca="false">IF(B928="","",IFERROR(INDEX(สินค้า!$B$2:$B$101,MATCH(B928,สินค้า!$A$2:$A$101,0)),"ไม่พบรหัส"))</f>
        <v/>
      </c>
      <c r="D928" s="14" t="str">
        <f aca="false">IF(B928="","",IFERROR(INDEX(สินค้า!$D$2:$D$101,MATCH(B928,สินค้า!$A$2:$A$101,0)),""))</f>
        <v/>
      </c>
      <c r="E928" s="6"/>
      <c r="F928" s="8"/>
      <c r="G928" s="8"/>
      <c r="H928" s="8"/>
      <c r="I928" s="15"/>
      <c r="J928" s="15"/>
      <c r="K928" s="10" t="str">
        <f aca="false">IF(J928&lt;&gt;"",J928,IF(I928="","",I928*IFERROR(INDEX(สินค้า!$G$2:$G$101,MATCH(B928,สินค้า!$A$2:$A$101,0)),0)))</f>
        <v/>
      </c>
      <c r="L928" s="16" t="str">
        <f aca="false">IF(OR(F928="",F928=0,G928=""),"",G928/F928)</f>
        <v/>
      </c>
      <c r="M928" s="16" t="str">
        <f aca="false">IF(OR(G928="",G928=0,H928=""),"",H928/G928)</f>
        <v/>
      </c>
    </row>
    <row r="929" customFormat="false" ht="15" hidden="false" customHeight="false" outlineLevel="0" collapsed="false">
      <c r="A929" s="12"/>
      <c r="B929" s="6"/>
      <c r="C929" s="13" t="str">
        <f aca="false">IF(B929="","",IFERROR(INDEX(สินค้า!$B$2:$B$101,MATCH(B929,สินค้า!$A$2:$A$101,0)),"ไม่พบรหัส"))</f>
        <v/>
      </c>
      <c r="D929" s="14" t="str">
        <f aca="false">IF(B929="","",IFERROR(INDEX(สินค้า!$D$2:$D$101,MATCH(B929,สินค้า!$A$2:$A$101,0)),""))</f>
        <v/>
      </c>
      <c r="E929" s="6"/>
      <c r="F929" s="8"/>
      <c r="G929" s="8"/>
      <c r="H929" s="8"/>
      <c r="I929" s="15"/>
      <c r="J929" s="15"/>
      <c r="K929" s="10" t="str">
        <f aca="false">IF(J929&lt;&gt;"",J929,IF(I929="","",I929*IFERROR(INDEX(สินค้า!$G$2:$G$101,MATCH(B929,สินค้า!$A$2:$A$101,0)),0)))</f>
        <v/>
      </c>
      <c r="L929" s="16" t="str">
        <f aca="false">IF(OR(F929="",F929=0,G929=""),"",G929/F929)</f>
        <v/>
      </c>
      <c r="M929" s="16" t="str">
        <f aca="false">IF(OR(G929="",G929=0,H929=""),"",H929/G929)</f>
        <v/>
      </c>
    </row>
    <row r="930" customFormat="false" ht="15" hidden="false" customHeight="false" outlineLevel="0" collapsed="false">
      <c r="A930" s="12"/>
      <c r="B930" s="6"/>
      <c r="C930" s="13" t="str">
        <f aca="false">IF(B930="","",IFERROR(INDEX(สินค้า!$B$2:$B$101,MATCH(B930,สินค้า!$A$2:$A$101,0)),"ไม่พบรหัส"))</f>
        <v/>
      </c>
      <c r="D930" s="14" t="str">
        <f aca="false">IF(B930="","",IFERROR(INDEX(สินค้า!$D$2:$D$101,MATCH(B930,สินค้า!$A$2:$A$101,0)),""))</f>
        <v/>
      </c>
      <c r="E930" s="6"/>
      <c r="F930" s="8"/>
      <c r="G930" s="8"/>
      <c r="H930" s="8"/>
      <c r="I930" s="15"/>
      <c r="J930" s="15"/>
      <c r="K930" s="10" t="str">
        <f aca="false">IF(J930&lt;&gt;"",J930,IF(I930="","",I930*IFERROR(INDEX(สินค้า!$G$2:$G$101,MATCH(B930,สินค้า!$A$2:$A$101,0)),0)))</f>
        <v/>
      </c>
      <c r="L930" s="16" t="str">
        <f aca="false">IF(OR(F930="",F930=0,G930=""),"",G930/F930)</f>
        <v/>
      </c>
      <c r="M930" s="16" t="str">
        <f aca="false">IF(OR(G930="",G930=0,H930=""),"",H930/G930)</f>
        <v/>
      </c>
    </row>
    <row r="931" customFormat="false" ht="15" hidden="false" customHeight="false" outlineLevel="0" collapsed="false">
      <c r="A931" s="12"/>
      <c r="B931" s="6"/>
      <c r="C931" s="13" t="str">
        <f aca="false">IF(B931="","",IFERROR(INDEX(สินค้า!$B$2:$B$101,MATCH(B931,สินค้า!$A$2:$A$101,0)),"ไม่พบรหัส"))</f>
        <v/>
      </c>
      <c r="D931" s="14" t="str">
        <f aca="false">IF(B931="","",IFERROR(INDEX(สินค้า!$D$2:$D$101,MATCH(B931,สินค้า!$A$2:$A$101,0)),""))</f>
        <v/>
      </c>
      <c r="E931" s="6"/>
      <c r="F931" s="8"/>
      <c r="G931" s="8"/>
      <c r="H931" s="8"/>
      <c r="I931" s="15"/>
      <c r="J931" s="15"/>
      <c r="K931" s="10" t="str">
        <f aca="false">IF(J931&lt;&gt;"",J931,IF(I931="","",I931*IFERROR(INDEX(สินค้า!$G$2:$G$101,MATCH(B931,สินค้า!$A$2:$A$101,0)),0)))</f>
        <v/>
      </c>
      <c r="L931" s="16" t="str">
        <f aca="false">IF(OR(F931="",F931=0,G931=""),"",G931/F931)</f>
        <v/>
      </c>
      <c r="M931" s="16" t="str">
        <f aca="false">IF(OR(G931="",G931=0,H931=""),"",H931/G931)</f>
        <v/>
      </c>
    </row>
    <row r="932" customFormat="false" ht="15" hidden="false" customHeight="false" outlineLevel="0" collapsed="false">
      <c r="A932" s="12"/>
      <c r="B932" s="6"/>
      <c r="C932" s="13" t="str">
        <f aca="false">IF(B932="","",IFERROR(INDEX(สินค้า!$B$2:$B$101,MATCH(B932,สินค้า!$A$2:$A$101,0)),"ไม่พบรหัส"))</f>
        <v/>
      </c>
      <c r="D932" s="14" t="str">
        <f aca="false">IF(B932="","",IFERROR(INDEX(สินค้า!$D$2:$D$101,MATCH(B932,สินค้า!$A$2:$A$101,0)),""))</f>
        <v/>
      </c>
      <c r="E932" s="6"/>
      <c r="F932" s="8"/>
      <c r="G932" s="8"/>
      <c r="H932" s="8"/>
      <c r="I932" s="15"/>
      <c r="J932" s="15"/>
      <c r="K932" s="10" t="str">
        <f aca="false">IF(J932&lt;&gt;"",J932,IF(I932="","",I932*IFERROR(INDEX(สินค้า!$G$2:$G$101,MATCH(B932,สินค้า!$A$2:$A$101,0)),0)))</f>
        <v/>
      </c>
      <c r="L932" s="16" t="str">
        <f aca="false">IF(OR(F932="",F932=0,G932=""),"",G932/F932)</f>
        <v/>
      </c>
      <c r="M932" s="16" t="str">
        <f aca="false">IF(OR(G932="",G932=0,H932=""),"",H932/G932)</f>
        <v/>
      </c>
    </row>
    <row r="933" customFormat="false" ht="15" hidden="false" customHeight="false" outlineLevel="0" collapsed="false">
      <c r="A933" s="12"/>
      <c r="B933" s="6"/>
      <c r="C933" s="13" t="str">
        <f aca="false">IF(B933="","",IFERROR(INDEX(สินค้า!$B$2:$B$101,MATCH(B933,สินค้า!$A$2:$A$101,0)),"ไม่พบรหัส"))</f>
        <v/>
      </c>
      <c r="D933" s="14" t="str">
        <f aca="false">IF(B933="","",IFERROR(INDEX(สินค้า!$D$2:$D$101,MATCH(B933,สินค้า!$A$2:$A$101,0)),""))</f>
        <v/>
      </c>
      <c r="E933" s="6"/>
      <c r="F933" s="8"/>
      <c r="G933" s="8"/>
      <c r="H933" s="8"/>
      <c r="I933" s="15"/>
      <c r="J933" s="15"/>
      <c r="K933" s="10" t="str">
        <f aca="false">IF(J933&lt;&gt;"",J933,IF(I933="","",I933*IFERROR(INDEX(สินค้า!$G$2:$G$101,MATCH(B933,สินค้า!$A$2:$A$101,0)),0)))</f>
        <v/>
      </c>
      <c r="L933" s="16" t="str">
        <f aca="false">IF(OR(F933="",F933=0,G933=""),"",G933/F933)</f>
        <v/>
      </c>
      <c r="M933" s="16" t="str">
        <f aca="false">IF(OR(G933="",G933=0,H933=""),"",H933/G933)</f>
        <v/>
      </c>
    </row>
    <row r="934" customFormat="false" ht="15" hidden="false" customHeight="false" outlineLevel="0" collapsed="false">
      <c r="A934" s="12"/>
      <c r="B934" s="6"/>
      <c r="C934" s="13" t="str">
        <f aca="false">IF(B934="","",IFERROR(INDEX(สินค้า!$B$2:$B$101,MATCH(B934,สินค้า!$A$2:$A$101,0)),"ไม่พบรหัส"))</f>
        <v/>
      </c>
      <c r="D934" s="14" t="str">
        <f aca="false">IF(B934="","",IFERROR(INDEX(สินค้า!$D$2:$D$101,MATCH(B934,สินค้า!$A$2:$A$101,0)),""))</f>
        <v/>
      </c>
      <c r="E934" s="6"/>
      <c r="F934" s="8"/>
      <c r="G934" s="8"/>
      <c r="H934" s="8"/>
      <c r="I934" s="15"/>
      <c r="J934" s="15"/>
      <c r="K934" s="10" t="str">
        <f aca="false">IF(J934&lt;&gt;"",J934,IF(I934="","",I934*IFERROR(INDEX(สินค้า!$G$2:$G$101,MATCH(B934,สินค้า!$A$2:$A$101,0)),0)))</f>
        <v/>
      </c>
      <c r="L934" s="16" t="str">
        <f aca="false">IF(OR(F934="",F934=0,G934=""),"",G934/F934)</f>
        <v/>
      </c>
      <c r="M934" s="16" t="str">
        <f aca="false">IF(OR(G934="",G934=0,H934=""),"",H934/G934)</f>
        <v/>
      </c>
    </row>
    <row r="935" customFormat="false" ht="15" hidden="false" customHeight="false" outlineLevel="0" collapsed="false">
      <c r="A935" s="12"/>
      <c r="B935" s="6"/>
      <c r="C935" s="13" t="str">
        <f aca="false">IF(B935="","",IFERROR(INDEX(สินค้า!$B$2:$B$101,MATCH(B935,สินค้า!$A$2:$A$101,0)),"ไม่พบรหัส"))</f>
        <v/>
      </c>
      <c r="D935" s="14" t="str">
        <f aca="false">IF(B935="","",IFERROR(INDEX(สินค้า!$D$2:$D$101,MATCH(B935,สินค้า!$A$2:$A$101,0)),""))</f>
        <v/>
      </c>
      <c r="E935" s="6"/>
      <c r="F935" s="8"/>
      <c r="G935" s="8"/>
      <c r="H935" s="8"/>
      <c r="I935" s="15"/>
      <c r="J935" s="15"/>
      <c r="K935" s="10" t="str">
        <f aca="false">IF(J935&lt;&gt;"",J935,IF(I935="","",I935*IFERROR(INDEX(สินค้า!$G$2:$G$101,MATCH(B935,สินค้า!$A$2:$A$101,0)),0)))</f>
        <v/>
      </c>
      <c r="L935" s="16" t="str">
        <f aca="false">IF(OR(F935="",F935=0,G935=""),"",G935/F935)</f>
        <v/>
      </c>
      <c r="M935" s="16" t="str">
        <f aca="false">IF(OR(G935="",G935=0,H935=""),"",H935/G935)</f>
        <v/>
      </c>
    </row>
    <row r="936" customFormat="false" ht="15" hidden="false" customHeight="false" outlineLevel="0" collapsed="false">
      <c r="A936" s="12"/>
      <c r="B936" s="6"/>
      <c r="C936" s="13" t="str">
        <f aca="false">IF(B936="","",IFERROR(INDEX(สินค้า!$B$2:$B$101,MATCH(B936,สินค้า!$A$2:$A$101,0)),"ไม่พบรหัส"))</f>
        <v/>
      </c>
      <c r="D936" s="14" t="str">
        <f aca="false">IF(B936="","",IFERROR(INDEX(สินค้า!$D$2:$D$101,MATCH(B936,สินค้า!$A$2:$A$101,0)),""))</f>
        <v/>
      </c>
      <c r="E936" s="6"/>
      <c r="F936" s="8"/>
      <c r="G936" s="8"/>
      <c r="H936" s="8"/>
      <c r="I936" s="15"/>
      <c r="J936" s="15"/>
      <c r="K936" s="10" t="str">
        <f aca="false">IF(J936&lt;&gt;"",J936,IF(I936="","",I936*IFERROR(INDEX(สินค้า!$G$2:$G$101,MATCH(B936,สินค้า!$A$2:$A$101,0)),0)))</f>
        <v/>
      </c>
      <c r="L936" s="16" t="str">
        <f aca="false">IF(OR(F936="",F936=0,G936=""),"",G936/F936)</f>
        <v/>
      </c>
      <c r="M936" s="16" t="str">
        <f aca="false">IF(OR(G936="",G936=0,H936=""),"",H936/G936)</f>
        <v/>
      </c>
    </row>
    <row r="937" customFormat="false" ht="15" hidden="false" customHeight="false" outlineLevel="0" collapsed="false">
      <c r="A937" s="12"/>
      <c r="B937" s="6"/>
      <c r="C937" s="13" t="str">
        <f aca="false">IF(B937="","",IFERROR(INDEX(สินค้า!$B$2:$B$101,MATCH(B937,สินค้า!$A$2:$A$101,0)),"ไม่พบรหัส"))</f>
        <v/>
      </c>
      <c r="D937" s="14" t="str">
        <f aca="false">IF(B937="","",IFERROR(INDEX(สินค้า!$D$2:$D$101,MATCH(B937,สินค้า!$A$2:$A$101,0)),""))</f>
        <v/>
      </c>
      <c r="E937" s="6"/>
      <c r="F937" s="8"/>
      <c r="G937" s="8"/>
      <c r="H937" s="8"/>
      <c r="I937" s="15"/>
      <c r="J937" s="15"/>
      <c r="K937" s="10" t="str">
        <f aca="false">IF(J937&lt;&gt;"",J937,IF(I937="","",I937*IFERROR(INDEX(สินค้า!$G$2:$G$101,MATCH(B937,สินค้า!$A$2:$A$101,0)),0)))</f>
        <v/>
      </c>
      <c r="L937" s="16" t="str">
        <f aca="false">IF(OR(F937="",F937=0,G937=""),"",G937/F937)</f>
        <v/>
      </c>
      <c r="M937" s="16" t="str">
        <f aca="false">IF(OR(G937="",G937=0,H937=""),"",H937/G937)</f>
        <v/>
      </c>
    </row>
    <row r="938" customFormat="false" ht="15" hidden="false" customHeight="false" outlineLevel="0" collapsed="false">
      <c r="A938" s="12"/>
      <c r="B938" s="6"/>
      <c r="C938" s="13" t="str">
        <f aca="false">IF(B938="","",IFERROR(INDEX(สินค้า!$B$2:$B$101,MATCH(B938,สินค้า!$A$2:$A$101,0)),"ไม่พบรหัส"))</f>
        <v/>
      </c>
      <c r="D938" s="14" t="str">
        <f aca="false">IF(B938="","",IFERROR(INDEX(สินค้า!$D$2:$D$101,MATCH(B938,สินค้า!$A$2:$A$101,0)),""))</f>
        <v/>
      </c>
      <c r="E938" s="6"/>
      <c r="F938" s="8"/>
      <c r="G938" s="8"/>
      <c r="H938" s="8"/>
      <c r="I938" s="15"/>
      <c r="J938" s="15"/>
      <c r="K938" s="10" t="str">
        <f aca="false">IF(J938&lt;&gt;"",J938,IF(I938="","",I938*IFERROR(INDEX(สินค้า!$G$2:$G$101,MATCH(B938,สินค้า!$A$2:$A$101,0)),0)))</f>
        <v/>
      </c>
      <c r="L938" s="16" t="str">
        <f aca="false">IF(OR(F938="",F938=0,G938=""),"",G938/F938)</f>
        <v/>
      </c>
      <c r="M938" s="16" t="str">
        <f aca="false">IF(OR(G938="",G938=0,H938=""),"",H938/G938)</f>
        <v/>
      </c>
    </row>
    <row r="939" customFormat="false" ht="15" hidden="false" customHeight="false" outlineLevel="0" collapsed="false">
      <c r="A939" s="12"/>
      <c r="B939" s="6"/>
      <c r="C939" s="13" t="str">
        <f aca="false">IF(B939="","",IFERROR(INDEX(สินค้า!$B$2:$B$101,MATCH(B939,สินค้า!$A$2:$A$101,0)),"ไม่พบรหัส"))</f>
        <v/>
      </c>
      <c r="D939" s="14" t="str">
        <f aca="false">IF(B939="","",IFERROR(INDEX(สินค้า!$D$2:$D$101,MATCH(B939,สินค้า!$A$2:$A$101,0)),""))</f>
        <v/>
      </c>
      <c r="E939" s="6"/>
      <c r="F939" s="8"/>
      <c r="G939" s="8"/>
      <c r="H939" s="8"/>
      <c r="I939" s="15"/>
      <c r="J939" s="15"/>
      <c r="K939" s="10" t="str">
        <f aca="false">IF(J939&lt;&gt;"",J939,IF(I939="","",I939*IFERROR(INDEX(สินค้า!$G$2:$G$101,MATCH(B939,สินค้า!$A$2:$A$101,0)),0)))</f>
        <v/>
      </c>
      <c r="L939" s="16" t="str">
        <f aca="false">IF(OR(F939="",F939=0,G939=""),"",G939/F939)</f>
        <v/>
      </c>
      <c r="M939" s="16" t="str">
        <f aca="false">IF(OR(G939="",G939=0,H939=""),"",H939/G939)</f>
        <v/>
      </c>
    </row>
    <row r="940" customFormat="false" ht="15" hidden="false" customHeight="false" outlineLevel="0" collapsed="false">
      <c r="A940" s="12"/>
      <c r="B940" s="6"/>
      <c r="C940" s="13" t="str">
        <f aca="false">IF(B940="","",IFERROR(INDEX(สินค้า!$B$2:$B$101,MATCH(B940,สินค้า!$A$2:$A$101,0)),"ไม่พบรหัส"))</f>
        <v/>
      </c>
      <c r="D940" s="14" t="str">
        <f aca="false">IF(B940="","",IFERROR(INDEX(สินค้า!$D$2:$D$101,MATCH(B940,สินค้า!$A$2:$A$101,0)),""))</f>
        <v/>
      </c>
      <c r="E940" s="6"/>
      <c r="F940" s="8"/>
      <c r="G940" s="8"/>
      <c r="H940" s="8"/>
      <c r="I940" s="15"/>
      <c r="J940" s="15"/>
      <c r="K940" s="10" t="str">
        <f aca="false">IF(J940&lt;&gt;"",J940,IF(I940="","",I940*IFERROR(INDEX(สินค้า!$G$2:$G$101,MATCH(B940,สินค้า!$A$2:$A$101,0)),0)))</f>
        <v/>
      </c>
      <c r="L940" s="16" t="str">
        <f aca="false">IF(OR(F940="",F940=0,G940=""),"",G940/F940)</f>
        <v/>
      </c>
      <c r="M940" s="16" t="str">
        <f aca="false">IF(OR(G940="",G940=0,H940=""),"",H940/G940)</f>
        <v/>
      </c>
    </row>
    <row r="941" customFormat="false" ht="15" hidden="false" customHeight="false" outlineLevel="0" collapsed="false">
      <c r="A941" s="12"/>
      <c r="B941" s="6"/>
      <c r="C941" s="13" t="str">
        <f aca="false">IF(B941="","",IFERROR(INDEX(สินค้า!$B$2:$B$101,MATCH(B941,สินค้า!$A$2:$A$101,0)),"ไม่พบรหัส"))</f>
        <v/>
      </c>
      <c r="D941" s="14" t="str">
        <f aca="false">IF(B941="","",IFERROR(INDEX(สินค้า!$D$2:$D$101,MATCH(B941,สินค้า!$A$2:$A$101,0)),""))</f>
        <v/>
      </c>
      <c r="E941" s="6"/>
      <c r="F941" s="8"/>
      <c r="G941" s="8"/>
      <c r="H941" s="8"/>
      <c r="I941" s="15"/>
      <c r="J941" s="15"/>
      <c r="K941" s="10" t="str">
        <f aca="false">IF(J941&lt;&gt;"",J941,IF(I941="","",I941*IFERROR(INDEX(สินค้า!$G$2:$G$101,MATCH(B941,สินค้า!$A$2:$A$101,0)),0)))</f>
        <v/>
      </c>
      <c r="L941" s="16" t="str">
        <f aca="false">IF(OR(F941="",F941=0,G941=""),"",G941/F941)</f>
        <v/>
      </c>
      <c r="M941" s="16" t="str">
        <f aca="false">IF(OR(G941="",G941=0,H941=""),"",H941/G941)</f>
        <v/>
      </c>
    </row>
    <row r="942" customFormat="false" ht="15" hidden="false" customHeight="false" outlineLevel="0" collapsed="false">
      <c r="A942" s="12"/>
      <c r="B942" s="6"/>
      <c r="C942" s="13" t="str">
        <f aca="false">IF(B942="","",IFERROR(INDEX(สินค้า!$B$2:$B$101,MATCH(B942,สินค้า!$A$2:$A$101,0)),"ไม่พบรหัส"))</f>
        <v/>
      </c>
      <c r="D942" s="14" t="str">
        <f aca="false">IF(B942="","",IFERROR(INDEX(สินค้า!$D$2:$D$101,MATCH(B942,สินค้า!$A$2:$A$101,0)),""))</f>
        <v/>
      </c>
      <c r="E942" s="6"/>
      <c r="F942" s="8"/>
      <c r="G942" s="8"/>
      <c r="H942" s="8"/>
      <c r="I942" s="15"/>
      <c r="J942" s="15"/>
      <c r="K942" s="10" t="str">
        <f aca="false">IF(J942&lt;&gt;"",J942,IF(I942="","",I942*IFERROR(INDEX(สินค้า!$G$2:$G$101,MATCH(B942,สินค้า!$A$2:$A$101,0)),0)))</f>
        <v/>
      </c>
      <c r="L942" s="16" t="str">
        <f aca="false">IF(OR(F942="",F942=0,G942=""),"",G942/F942)</f>
        <v/>
      </c>
      <c r="M942" s="16" t="str">
        <f aca="false">IF(OR(G942="",G942=0,H942=""),"",H942/G942)</f>
        <v/>
      </c>
    </row>
    <row r="943" customFormat="false" ht="15" hidden="false" customHeight="false" outlineLevel="0" collapsed="false">
      <c r="A943" s="12"/>
      <c r="B943" s="6"/>
      <c r="C943" s="13" t="str">
        <f aca="false">IF(B943="","",IFERROR(INDEX(สินค้า!$B$2:$B$101,MATCH(B943,สินค้า!$A$2:$A$101,0)),"ไม่พบรหัส"))</f>
        <v/>
      </c>
      <c r="D943" s="14" t="str">
        <f aca="false">IF(B943="","",IFERROR(INDEX(สินค้า!$D$2:$D$101,MATCH(B943,สินค้า!$A$2:$A$101,0)),""))</f>
        <v/>
      </c>
      <c r="E943" s="6"/>
      <c r="F943" s="8"/>
      <c r="G943" s="8"/>
      <c r="H943" s="8"/>
      <c r="I943" s="15"/>
      <c r="J943" s="15"/>
      <c r="K943" s="10" t="str">
        <f aca="false">IF(J943&lt;&gt;"",J943,IF(I943="","",I943*IFERROR(INDEX(สินค้า!$G$2:$G$101,MATCH(B943,สินค้า!$A$2:$A$101,0)),0)))</f>
        <v/>
      </c>
      <c r="L943" s="16" t="str">
        <f aca="false">IF(OR(F943="",F943=0,G943=""),"",G943/F943)</f>
        <v/>
      </c>
      <c r="M943" s="16" t="str">
        <f aca="false">IF(OR(G943="",G943=0,H943=""),"",H943/G943)</f>
        <v/>
      </c>
    </row>
    <row r="944" customFormat="false" ht="15" hidden="false" customHeight="false" outlineLevel="0" collapsed="false">
      <c r="A944" s="12"/>
      <c r="B944" s="6"/>
      <c r="C944" s="13" t="str">
        <f aca="false">IF(B944="","",IFERROR(INDEX(สินค้า!$B$2:$B$101,MATCH(B944,สินค้า!$A$2:$A$101,0)),"ไม่พบรหัส"))</f>
        <v/>
      </c>
      <c r="D944" s="14" t="str">
        <f aca="false">IF(B944="","",IFERROR(INDEX(สินค้า!$D$2:$D$101,MATCH(B944,สินค้า!$A$2:$A$101,0)),""))</f>
        <v/>
      </c>
      <c r="E944" s="6"/>
      <c r="F944" s="8"/>
      <c r="G944" s="8"/>
      <c r="H944" s="8"/>
      <c r="I944" s="15"/>
      <c r="J944" s="15"/>
      <c r="K944" s="10" t="str">
        <f aca="false">IF(J944&lt;&gt;"",J944,IF(I944="","",I944*IFERROR(INDEX(สินค้า!$G$2:$G$101,MATCH(B944,สินค้า!$A$2:$A$101,0)),0)))</f>
        <v/>
      </c>
      <c r="L944" s="16" t="str">
        <f aca="false">IF(OR(F944="",F944=0,G944=""),"",G944/F944)</f>
        <v/>
      </c>
      <c r="M944" s="16" t="str">
        <f aca="false">IF(OR(G944="",G944=0,H944=""),"",H944/G944)</f>
        <v/>
      </c>
    </row>
    <row r="945" customFormat="false" ht="15" hidden="false" customHeight="false" outlineLevel="0" collapsed="false">
      <c r="A945" s="12"/>
      <c r="B945" s="6"/>
      <c r="C945" s="13" t="str">
        <f aca="false">IF(B945="","",IFERROR(INDEX(สินค้า!$B$2:$B$101,MATCH(B945,สินค้า!$A$2:$A$101,0)),"ไม่พบรหัส"))</f>
        <v/>
      </c>
      <c r="D945" s="14" t="str">
        <f aca="false">IF(B945="","",IFERROR(INDEX(สินค้า!$D$2:$D$101,MATCH(B945,สินค้า!$A$2:$A$101,0)),""))</f>
        <v/>
      </c>
      <c r="E945" s="6"/>
      <c r="F945" s="8"/>
      <c r="G945" s="8"/>
      <c r="H945" s="8"/>
      <c r="I945" s="15"/>
      <c r="J945" s="15"/>
      <c r="K945" s="10" t="str">
        <f aca="false">IF(J945&lt;&gt;"",J945,IF(I945="","",I945*IFERROR(INDEX(สินค้า!$G$2:$G$101,MATCH(B945,สินค้า!$A$2:$A$101,0)),0)))</f>
        <v/>
      </c>
      <c r="L945" s="16" t="str">
        <f aca="false">IF(OR(F945="",F945=0,G945=""),"",G945/F945)</f>
        <v/>
      </c>
      <c r="M945" s="16" t="str">
        <f aca="false">IF(OR(G945="",G945=0,H945=""),"",H945/G945)</f>
        <v/>
      </c>
    </row>
    <row r="946" customFormat="false" ht="15" hidden="false" customHeight="false" outlineLevel="0" collapsed="false">
      <c r="A946" s="12"/>
      <c r="B946" s="6"/>
      <c r="C946" s="13" t="str">
        <f aca="false">IF(B946="","",IFERROR(INDEX(สินค้า!$B$2:$B$101,MATCH(B946,สินค้า!$A$2:$A$101,0)),"ไม่พบรหัส"))</f>
        <v/>
      </c>
      <c r="D946" s="14" t="str">
        <f aca="false">IF(B946="","",IFERROR(INDEX(สินค้า!$D$2:$D$101,MATCH(B946,สินค้า!$A$2:$A$101,0)),""))</f>
        <v/>
      </c>
      <c r="E946" s="6"/>
      <c r="F946" s="8"/>
      <c r="G946" s="8"/>
      <c r="H946" s="8"/>
      <c r="I946" s="15"/>
      <c r="J946" s="15"/>
      <c r="K946" s="10" t="str">
        <f aca="false">IF(J946&lt;&gt;"",J946,IF(I946="","",I946*IFERROR(INDEX(สินค้า!$G$2:$G$101,MATCH(B946,สินค้า!$A$2:$A$101,0)),0)))</f>
        <v/>
      </c>
      <c r="L946" s="16" t="str">
        <f aca="false">IF(OR(F946="",F946=0,G946=""),"",G946/F946)</f>
        <v/>
      </c>
      <c r="M946" s="16" t="str">
        <f aca="false">IF(OR(G946="",G946=0,H946=""),"",H946/G946)</f>
        <v/>
      </c>
    </row>
    <row r="947" customFormat="false" ht="15" hidden="false" customHeight="false" outlineLevel="0" collapsed="false">
      <c r="A947" s="12"/>
      <c r="B947" s="6"/>
      <c r="C947" s="13" t="str">
        <f aca="false">IF(B947="","",IFERROR(INDEX(สินค้า!$B$2:$B$101,MATCH(B947,สินค้า!$A$2:$A$101,0)),"ไม่พบรหัส"))</f>
        <v/>
      </c>
      <c r="D947" s="14" t="str">
        <f aca="false">IF(B947="","",IFERROR(INDEX(สินค้า!$D$2:$D$101,MATCH(B947,สินค้า!$A$2:$A$101,0)),""))</f>
        <v/>
      </c>
      <c r="E947" s="6"/>
      <c r="F947" s="8"/>
      <c r="G947" s="8"/>
      <c r="H947" s="8"/>
      <c r="I947" s="15"/>
      <c r="J947" s="15"/>
      <c r="K947" s="10" t="str">
        <f aca="false">IF(J947&lt;&gt;"",J947,IF(I947="","",I947*IFERROR(INDEX(สินค้า!$G$2:$G$101,MATCH(B947,สินค้า!$A$2:$A$101,0)),0)))</f>
        <v/>
      </c>
      <c r="L947" s="16" t="str">
        <f aca="false">IF(OR(F947="",F947=0,G947=""),"",G947/F947)</f>
        <v/>
      </c>
      <c r="M947" s="16" t="str">
        <f aca="false">IF(OR(G947="",G947=0,H947=""),"",H947/G947)</f>
        <v/>
      </c>
    </row>
    <row r="948" customFormat="false" ht="15" hidden="false" customHeight="false" outlineLevel="0" collapsed="false">
      <c r="A948" s="12"/>
      <c r="B948" s="6"/>
      <c r="C948" s="13" t="str">
        <f aca="false">IF(B948="","",IFERROR(INDEX(สินค้า!$B$2:$B$101,MATCH(B948,สินค้า!$A$2:$A$101,0)),"ไม่พบรหัส"))</f>
        <v/>
      </c>
      <c r="D948" s="14" t="str">
        <f aca="false">IF(B948="","",IFERROR(INDEX(สินค้า!$D$2:$D$101,MATCH(B948,สินค้า!$A$2:$A$101,0)),""))</f>
        <v/>
      </c>
      <c r="E948" s="6"/>
      <c r="F948" s="8"/>
      <c r="G948" s="8"/>
      <c r="H948" s="8"/>
      <c r="I948" s="15"/>
      <c r="J948" s="15"/>
      <c r="K948" s="10" t="str">
        <f aca="false">IF(J948&lt;&gt;"",J948,IF(I948="","",I948*IFERROR(INDEX(สินค้า!$G$2:$G$101,MATCH(B948,สินค้า!$A$2:$A$101,0)),0)))</f>
        <v/>
      </c>
      <c r="L948" s="16" t="str">
        <f aca="false">IF(OR(F948="",F948=0,G948=""),"",G948/F948)</f>
        <v/>
      </c>
      <c r="M948" s="16" t="str">
        <f aca="false">IF(OR(G948="",G948=0,H948=""),"",H948/G948)</f>
        <v/>
      </c>
    </row>
    <row r="949" customFormat="false" ht="15" hidden="false" customHeight="false" outlineLevel="0" collapsed="false">
      <c r="A949" s="12"/>
      <c r="B949" s="6"/>
      <c r="C949" s="13" t="str">
        <f aca="false">IF(B949="","",IFERROR(INDEX(สินค้า!$B$2:$B$101,MATCH(B949,สินค้า!$A$2:$A$101,0)),"ไม่พบรหัส"))</f>
        <v/>
      </c>
      <c r="D949" s="14" t="str">
        <f aca="false">IF(B949="","",IFERROR(INDEX(สินค้า!$D$2:$D$101,MATCH(B949,สินค้า!$A$2:$A$101,0)),""))</f>
        <v/>
      </c>
      <c r="E949" s="6"/>
      <c r="F949" s="8"/>
      <c r="G949" s="8"/>
      <c r="H949" s="8"/>
      <c r="I949" s="15"/>
      <c r="J949" s="15"/>
      <c r="K949" s="10" t="str">
        <f aca="false">IF(J949&lt;&gt;"",J949,IF(I949="","",I949*IFERROR(INDEX(สินค้า!$G$2:$G$101,MATCH(B949,สินค้า!$A$2:$A$101,0)),0)))</f>
        <v/>
      </c>
      <c r="L949" s="16" t="str">
        <f aca="false">IF(OR(F949="",F949=0,G949=""),"",G949/F949)</f>
        <v/>
      </c>
      <c r="M949" s="16" t="str">
        <f aca="false">IF(OR(G949="",G949=0,H949=""),"",H949/G949)</f>
        <v/>
      </c>
    </row>
    <row r="950" customFormat="false" ht="15" hidden="false" customHeight="false" outlineLevel="0" collapsed="false">
      <c r="A950" s="12"/>
      <c r="B950" s="6"/>
      <c r="C950" s="13" t="str">
        <f aca="false">IF(B950="","",IFERROR(INDEX(สินค้า!$B$2:$B$101,MATCH(B950,สินค้า!$A$2:$A$101,0)),"ไม่พบรหัส"))</f>
        <v/>
      </c>
      <c r="D950" s="14" t="str">
        <f aca="false">IF(B950="","",IFERROR(INDEX(สินค้า!$D$2:$D$101,MATCH(B950,สินค้า!$A$2:$A$101,0)),""))</f>
        <v/>
      </c>
      <c r="E950" s="6"/>
      <c r="F950" s="8"/>
      <c r="G950" s="8"/>
      <c r="H950" s="8"/>
      <c r="I950" s="15"/>
      <c r="J950" s="15"/>
      <c r="K950" s="10" t="str">
        <f aca="false">IF(J950&lt;&gt;"",J950,IF(I950="","",I950*IFERROR(INDEX(สินค้า!$G$2:$G$101,MATCH(B950,สินค้า!$A$2:$A$101,0)),0)))</f>
        <v/>
      </c>
      <c r="L950" s="16" t="str">
        <f aca="false">IF(OR(F950="",F950=0,G950=""),"",G950/F950)</f>
        <v/>
      </c>
      <c r="M950" s="16" t="str">
        <f aca="false">IF(OR(G950="",G950=0,H950=""),"",H950/G950)</f>
        <v/>
      </c>
    </row>
    <row r="951" customFormat="false" ht="15" hidden="false" customHeight="false" outlineLevel="0" collapsed="false">
      <c r="A951" s="12"/>
      <c r="B951" s="6"/>
      <c r="C951" s="13" t="str">
        <f aca="false">IF(B951="","",IFERROR(INDEX(สินค้า!$B$2:$B$101,MATCH(B951,สินค้า!$A$2:$A$101,0)),"ไม่พบรหัส"))</f>
        <v/>
      </c>
      <c r="D951" s="14" t="str">
        <f aca="false">IF(B951="","",IFERROR(INDEX(สินค้า!$D$2:$D$101,MATCH(B951,สินค้า!$A$2:$A$101,0)),""))</f>
        <v/>
      </c>
      <c r="E951" s="6"/>
      <c r="F951" s="8"/>
      <c r="G951" s="8"/>
      <c r="H951" s="8"/>
      <c r="I951" s="15"/>
      <c r="J951" s="15"/>
      <c r="K951" s="10" t="str">
        <f aca="false">IF(J951&lt;&gt;"",J951,IF(I951="","",I951*IFERROR(INDEX(สินค้า!$G$2:$G$101,MATCH(B951,สินค้า!$A$2:$A$101,0)),0)))</f>
        <v/>
      </c>
      <c r="L951" s="16" t="str">
        <f aca="false">IF(OR(F951="",F951=0,G951=""),"",G951/F951)</f>
        <v/>
      </c>
      <c r="M951" s="16" t="str">
        <f aca="false">IF(OR(G951="",G951=0,H951=""),"",H951/G951)</f>
        <v/>
      </c>
    </row>
    <row r="952" customFormat="false" ht="15" hidden="false" customHeight="false" outlineLevel="0" collapsed="false">
      <c r="A952" s="12"/>
      <c r="B952" s="6"/>
      <c r="C952" s="13" t="str">
        <f aca="false">IF(B952="","",IFERROR(INDEX(สินค้า!$B$2:$B$101,MATCH(B952,สินค้า!$A$2:$A$101,0)),"ไม่พบรหัส"))</f>
        <v/>
      </c>
      <c r="D952" s="14" t="str">
        <f aca="false">IF(B952="","",IFERROR(INDEX(สินค้า!$D$2:$D$101,MATCH(B952,สินค้า!$A$2:$A$101,0)),""))</f>
        <v/>
      </c>
      <c r="E952" s="6"/>
      <c r="F952" s="8"/>
      <c r="G952" s="8"/>
      <c r="H952" s="8"/>
      <c r="I952" s="15"/>
      <c r="J952" s="15"/>
      <c r="K952" s="10" t="str">
        <f aca="false">IF(J952&lt;&gt;"",J952,IF(I952="","",I952*IFERROR(INDEX(สินค้า!$G$2:$G$101,MATCH(B952,สินค้า!$A$2:$A$101,0)),0)))</f>
        <v/>
      </c>
      <c r="L952" s="16" t="str">
        <f aca="false">IF(OR(F952="",F952=0,G952=""),"",G952/F952)</f>
        <v/>
      </c>
      <c r="M952" s="16" t="str">
        <f aca="false">IF(OR(G952="",G952=0,H952=""),"",H952/G952)</f>
        <v/>
      </c>
    </row>
    <row r="953" customFormat="false" ht="15" hidden="false" customHeight="false" outlineLevel="0" collapsed="false">
      <c r="A953" s="12"/>
      <c r="B953" s="6"/>
      <c r="C953" s="13" t="str">
        <f aca="false">IF(B953="","",IFERROR(INDEX(สินค้า!$B$2:$B$101,MATCH(B953,สินค้า!$A$2:$A$101,0)),"ไม่พบรหัส"))</f>
        <v/>
      </c>
      <c r="D953" s="14" t="str">
        <f aca="false">IF(B953="","",IFERROR(INDEX(สินค้า!$D$2:$D$101,MATCH(B953,สินค้า!$A$2:$A$101,0)),""))</f>
        <v/>
      </c>
      <c r="E953" s="6"/>
      <c r="F953" s="8"/>
      <c r="G953" s="8"/>
      <c r="H953" s="8"/>
      <c r="I953" s="15"/>
      <c r="J953" s="15"/>
      <c r="K953" s="10" t="str">
        <f aca="false">IF(J953&lt;&gt;"",J953,IF(I953="","",I953*IFERROR(INDEX(สินค้า!$G$2:$G$101,MATCH(B953,สินค้า!$A$2:$A$101,0)),0)))</f>
        <v/>
      </c>
      <c r="L953" s="16" t="str">
        <f aca="false">IF(OR(F953="",F953=0,G953=""),"",G953/F953)</f>
        <v/>
      </c>
      <c r="M953" s="16" t="str">
        <f aca="false">IF(OR(G953="",G953=0,H953=""),"",H953/G953)</f>
        <v/>
      </c>
    </row>
    <row r="954" customFormat="false" ht="15" hidden="false" customHeight="false" outlineLevel="0" collapsed="false">
      <c r="A954" s="12"/>
      <c r="B954" s="6"/>
      <c r="C954" s="13" t="str">
        <f aca="false">IF(B954="","",IFERROR(INDEX(สินค้า!$B$2:$B$101,MATCH(B954,สินค้า!$A$2:$A$101,0)),"ไม่พบรหัส"))</f>
        <v/>
      </c>
      <c r="D954" s="14" t="str">
        <f aca="false">IF(B954="","",IFERROR(INDEX(สินค้า!$D$2:$D$101,MATCH(B954,สินค้า!$A$2:$A$101,0)),""))</f>
        <v/>
      </c>
      <c r="E954" s="6"/>
      <c r="F954" s="8"/>
      <c r="G954" s="8"/>
      <c r="H954" s="8"/>
      <c r="I954" s="15"/>
      <c r="J954" s="15"/>
      <c r="K954" s="10" t="str">
        <f aca="false">IF(J954&lt;&gt;"",J954,IF(I954="","",I954*IFERROR(INDEX(สินค้า!$G$2:$G$101,MATCH(B954,สินค้า!$A$2:$A$101,0)),0)))</f>
        <v/>
      </c>
      <c r="L954" s="16" t="str">
        <f aca="false">IF(OR(F954="",F954=0,G954=""),"",G954/F954)</f>
        <v/>
      </c>
      <c r="M954" s="16" t="str">
        <f aca="false">IF(OR(G954="",G954=0,H954=""),"",H954/G954)</f>
        <v/>
      </c>
    </row>
    <row r="955" customFormat="false" ht="15" hidden="false" customHeight="false" outlineLevel="0" collapsed="false">
      <c r="A955" s="12"/>
      <c r="B955" s="6"/>
      <c r="C955" s="13" t="str">
        <f aca="false">IF(B955="","",IFERROR(INDEX(สินค้า!$B$2:$B$101,MATCH(B955,สินค้า!$A$2:$A$101,0)),"ไม่พบรหัส"))</f>
        <v/>
      </c>
      <c r="D955" s="14" t="str">
        <f aca="false">IF(B955="","",IFERROR(INDEX(สินค้า!$D$2:$D$101,MATCH(B955,สินค้า!$A$2:$A$101,0)),""))</f>
        <v/>
      </c>
      <c r="E955" s="6"/>
      <c r="F955" s="8"/>
      <c r="G955" s="8"/>
      <c r="H955" s="8"/>
      <c r="I955" s="15"/>
      <c r="J955" s="15"/>
      <c r="K955" s="10" t="str">
        <f aca="false">IF(J955&lt;&gt;"",J955,IF(I955="","",I955*IFERROR(INDEX(สินค้า!$G$2:$G$101,MATCH(B955,สินค้า!$A$2:$A$101,0)),0)))</f>
        <v/>
      </c>
      <c r="L955" s="16" t="str">
        <f aca="false">IF(OR(F955="",F955=0,G955=""),"",G955/F955)</f>
        <v/>
      </c>
      <c r="M955" s="16" t="str">
        <f aca="false">IF(OR(G955="",G955=0,H955=""),"",H955/G955)</f>
        <v/>
      </c>
    </row>
    <row r="956" customFormat="false" ht="15" hidden="false" customHeight="false" outlineLevel="0" collapsed="false">
      <c r="A956" s="12"/>
      <c r="B956" s="6"/>
      <c r="C956" s="13" t="str">
        <f aca="false">IF(B956="","",IFERROR(INDEX(สินค้า!$B$2:$B$101,MATCH(B956,สินค้า!$A$2:$A$101,0)),"ไม่พบรหัส"))</f>
        <v/>
      </c>
      <c r="D956" s="14" t="str">
        <f aca="false">IF(B956="","",IFERROR(INDEX(สินค้า!$D$2:$D$101,MATCH(B956,สินค้า!$A$2:$A$101,0)),""))</f>
        <v/>
      </c>
      <c r="E956" s="6"/>
      <c r="F956" s="8"/>
      <c r="G956" s="8"/>
      <c r="H956" s="8"/>
      <c r="I956" s="15"/>
      <c r="J956" s="15"/>
      <c r="K956" s="10" t="str">
        <f aca="false">IF(J956&lt;&gt;"",J956,IF(I956="","",I956*IFERROR(INDEX(สินค้า!$G$2:$G$101,MATCH(B956,สินค้า!$A$2:$A$101,0)),0)))</f>
        <v/>
      </c>
      <c r="L956" s="16" t="str">
        <f aca="false">IF(OR(F956="",F956=0,G956=""),"",G956/F956)</f>
        <v/>
      </c>
      <c r="M956" s="16" t="str">
        <f aca="false">IF(OR(G956="",G956=0,H956=""),"",H956/G956)</f>
        <v/>
      </c>
    </row>
    <row r="957" customFormat="false" ht="15" hidden="false" customHeight="false" outlineLevel="0" collapsed="false">
      <c r="A957" s="12"/>
      <c r="B957" s="6"/>
      <c r="C957" s="13" t="str">
        <f aca="false">IF(B957="","",IFERROR(INDEX(สินค้า!$B$2:$B$101,MATCH(B957,สินค้า!$A$2:$A$101,0)),"ไม่พบรหัส"))</f>
        <v/>
      </c>
      <c r="D957" s="14" t="str">
        <f aca="false">IF(B957="","",IFERROR(INDEX(สินค้า!$D$2:$D$101,MATCH(B957,สินค้า!$A$2:$A$101,0)),""))</f>
        <v/>
      </c>
      <c r="E957" s="6"/>
      <c r="F957" s="8"/>
      <c r="G957" s="8"/>
      <c r="H957" s="8"/>
      <c r="I957" s="15"/>
      <c r="J957" s="15"/>
      <c r="K957" s="10" t="str">
        <f aca="false">IF(J957&lt;&gt;"",J957,IF(I957="","",I957*IFERROR(INDEX(สินค้า!$G$2:$G$101,MATCH(B957,สินค้า!$A$2:$A$101,0)),0)))</f>
        <v/>
      </c>
      <c r="L957" s="16" t="str">
        <f aca="false">IF(OR(F957="",F957=0,G957=""),"",G957/F957)</f>
        <v/>
      </c>
      <c r="M957" s="16" t="str">
        <f aca="false">IF(OR(G957="",G957=0,H957=""),"",H957/G957)</f>
        <v/>
      </c>
    </row>
    <row r="958" customFormat="false" ht="15" hidden="false" customHeight="false" outlineLevel="0" collapsed="false">
      <c r="A958" s="12"/>
      <c r="B958" s="6"/>
      <c r="C958" s="13" t="str">
        <f aca="false">IF(B958="","",IFERROR(INDEX(สินค้า!$B$2:$B$101,MATCH(B958,สินค้า!$A$2:$A$101,0)),"ไม่พบรหัส"))</f>
        <v/>
      </c>
      <c r="D958" s="14" t="str">
        <f aca="false">IF(B958="","",IFERROR(INDEX(สินค้า!$D$2:$D$101,MATCH(B958,สินค้า!$A$2:$A$101,0)),""))</f>
        <v/>
      </c>
      <c r="E958" s="6"/>
      <c r="F958" s="8"/>
      <c r="G958" s="8"/>
      <c r="H958" s="8"/>
      <c r="I958" s="15"/>
      <c r="J958" s="15"/>
      <c r="K958" s="10" t="str">
        <f aca="false">IF(J958&lt;&gt;"",J958,IF(I958="","",I958*IFERROR(INDEX(สินค้า!$G$2:$G$101,MATCH(B958,สินค้า!$A$2:$A$101,0)),0)))</f>
        <v/>
      </c>
      <c r="L958" s="16" t="str">
        <f aca="false">IF(OR(F958="",F958=0,G958=""),"",G958/F958)</f>
        <v/>
      </c>
      <c r="M958" s="16" t="str">
        <f aca="false">IF(OR(G958="",G958=0,H958=""),"",H958/G958)</f>
        <v/>
      </c>
    </row>
    <row r="959" customFormat="false" ht="15" hidden="false" customHeight="false" outlineLevel="0" collapsed="false">
      <c r="A959" s="12"/>
      <c r="B959" s="6"/>
      <c r="C959" s="13" t="str">
        <f aca="false">IF(B959="","",IFERROR(INDEX(สินค้า!$B$2:$B$101,MATCH(B959,สินค้า!$A$2:$A$101,0)),"ไม่พบรหัส"))</f>
        <v/>
      </c>
      <c r="D959" s="14" t="str">
        <f aca="false">IF(B959="","",IFERROR(INDEX(สินค้า!$D$2:$D$101,MATCH(B959,สินค้า!$A$2:$A$101,0)),""))</f>
        <v/>
      </c>
      <c r="E959" s="6"/>
      <c r="F959" s="8"/>
      <c r="G959" s="8"/>
      <c r="H959" s="8"/>
      <c r="I959" s="15"/>
      <c r="J959" s="15"/>
      <c r="K959" s="10" t="str">
        <f aca="false">IF(J959&lt;&gt;"",J959,IF(I959="","",I959*IFERROR(INDEX(สินค้า!$G$2:$G$101,MATCH(B959,สินค้า!$A$2:$A$101,0)),0)))</f>
        <v/>
      </c>
      <c r="L959" s="16" t="str">
        <f aca="false">IF(OR(F959="",F959=0,G959=""),"",G959/F959)</f>
        <v/>
      </c>
      <c r="M959" s="16" t="str">
        <f aca="false">IF(OR(G959="",G959=0,H959=""),"",H959/G959)</f>
        <v/>
      </c>
    </row>
    <row r="960" customFormat="false" ht="15" hidden="false" customHeight="false" outlineLevel="0" collapsed="false">
      <c r="A960" s="12"/>
      <c r="B960" s="6"/>
      <c r="C960" s="13" t="str">
        <f aca="false">IF(B960="","",IFERROR(INDEX(สินค้า!$B$2:$B$101,MATCH(B960,สินค้า!$A$2:$A$101,0)),"ไม่พบรหัส"))</f>
        <v/>
      </c>
      <c r="D960" s="14" t="str">
        <f aca="false">IF(B960="","",IFERROR(INDEX(สินค้า!$D$2:$D$101,MATCH(B960,สินค้า!$A$2:$A$101,0)),""))</f>
        <v/>
      </c>
      <c r="E960" s="6"/>
      <c r="F960" s="8"/>
      <c r="G960" s="8"/>
      <c r="H960" s="8"/>
      <c r="I960" s="15"/>
      <c r="J960" s="15"/>
      <c r="K960" s="10" t="str">
        <f aca="false">IF(J960&lt;&gt;"",J960,IF(I960="","",I960*IFERROR(INDEX(สินค้า!$G$2:$G$101,MATCH(B960,สินค้า!$A$2:$A$101,0)),0)))</f>
        <v/>
      </c>
      <c r="L960" s="16" t="str">
        <f aca="false">IF(OR(F960="",F960=0,G960=""),"",G960/F960)</f>
        <v/>
      </c>
      <c r="M960" s="16" t="str">
        <f aca="false">IF(OR(G960="",G960=0,H960=""),"",H960/G960)</f>
        <v/>
      </c>
    </row>
    <row r="961" customFormat="false" ht="15" hidden="false" customHeight="false" outlineLevel="0" collapsed="false">
      <c r="A961" s="12"/>
      <c r="B961" s="6"/>
      <c r="C961" s="13" t="str">
        <f aca="false">IF(B961="","",IFERROR(INDEX(สินค้า!$B$2:$B$101,MATCH(B961,สินค้า!$A$2:$A$101,0)),"ไม่พบรหัส"))</f>
        <v/>
      </c>
      <c r="D961" s="14" t="str">
        <f aca="false">IF(B961="","",IFERROR(INDEX(สินค้า!$D$2:$D$101,MATCH(B961,สินค้า!$A$2:$A$101,0)),""))</f>
        <v/>
      </c>
      <c r="E961" s="6"/>
      <c r="F961" s="8"/>
      <c r="G961" s="8"/>
      <c r="H961" s="8"/>
      <c r="I961" s="15"/>
      <c r="J961" s="15"/>
      <c r="K961" s="10" t="str">
        <f aca="false">IF(J961&lt;&gt;"",J961,IF(I961="","",I961*IFERROR(INDEX(สินค้า!$G$2:$G$101,MATCH(B961,สินค้า!$A$2:$A$101,0)),0)))</f>
        <v/>
      </c>
      <c r="L961" s="16" t="str">
        <f aca="false">IF(OR(F961="",F961=0,G961=""),"",G961/F961)</f>
        <v/>
      </c>
      <c r="M961" s="16" t="str">
        <f aca="false">IF(OR(G961="",G961=0,H961=""),"",H961/G961)</f>
        <v/>
      </c>
    </row>
    <row r="962" customFormat="false" ht="15" hidden="false" customHeight="false" outlineLevel="0" collapsed="false">
      <c r="A962" s="12"/>
      <c r="B962" s="6"/>
      <c r="C962" s="13" t="str">
        <f aca="false">IF(B962="","",IFERROR(INDEX(สินค้า!$B$2:$B$101,MATCH(B962,สินค้า!$A$2:$A$101,0)),"ไม่พบรหัส"))</f>
        <v/>
      </c>
      <c r="D962" s="14" t="str">
        <f aca="false">IF(B962="","",IFERROR(INDEX(สินค้า!$D$2:$D$101,MATCH(B962,สินค้า!$A$2:$A$101,0)),""))</f>
        <v/>
      </c>
      <c r="E962" s="6"/>
      <c r="F962" s="8"/>
      <c r="G962" s="8"/>
      <c r="H962" s="8"/>
      <c r="I962" s="15"/>
      <c r="J962" s="15"/>
      <c r="K962" s="10" t="str">
        <f aca="false">IF(J962&lt;&gt;"",J962,IF(I962="","",I962*IFERROR(INDEX(สินค้า!$G$2:$G$101,MATCH(B962,สินค้า!$A$2:$A$101,0)),0)))</f>
        <v/>
      </c>
      <c r="L962" s="16" t="str">
        <f aca="false">IF(OR(F962="",F962=0,G962=""),"",G962/F962)</f>
        <v/>
      </c>
      <c r="M962" s="16" t="str">
        <f aca="false">IF(OR(G962="",G962=0,H962=""),"",H962/G962)</f>
        <v/>
      </c>
    </row>
    <row r="963" customFormat="false" ht="15" hidden="false" customHeight="false" outlineLevel="0" collapsed="false">
      <c r="A963" s="12"/>
      <c r="B963" s="6"/>
      <c r="C963" s="13" t="str">
        <f aca="false">IF(B963="","",IFERROR(INDEX(สินค้า!$B$2:$B$101,MATCH(B963,สินค้า!$A$2:$A$101,0)),"ไม่พบรหัส"))</f>
        <v/>
      </c>
      <c r="D963" s="14" t="str">
        <f aca="false">IF(B963="","",IFERROR(INDEX(สินค้า!$D$2:$D$101,MATCH(B963,สินค้า!$A$2:$A$101,0)),""))</f>
        <v/>
      </c>
      <c r="E963" s="6"/>
      <c r="F963" s="8"/>
      <c r="G963" s="8"/>
      <c r="H963" s="8"/>
      <c r="I963" s="15"/>
      <c r="J963" s="15"/>
      <c r="K963" s="10" t="str">
        <f aca="false">IF(J963&lt;&gt;"",J963,IF(I963="","",I963*IFERROR(INDEX(สินค้า!$G$2:$G$101,MATCH(B963,สินค้า!$A$2:$A$101,0)),0)))</f>
        <v/>
      </c>
      <c r="L963" s="16" t="str">
        <f aca="false">IF(OR(F963="",F963=0,G963=""),"",G963/F963)</f>
        <v/>
      </c>
      <c r="M963" s="16" t="str">
        <f aca="false">IF(OR(G963="",G963=0,H963=""),"",H963/G963)</f>
        <v/>
      </c>
    </row>
    <row r="964" customFormat="false" ht="15" hidden="false" customHeight="false" outlineLevel="0" collapsed="false">
      <c r="A964" s="12"/>
      <c r="B964" s="6"/>
      <c r="C964" s="13" t="str">
        <f aca="false">IF(B964="","",IFERROR(INDEX(สินค้า!$B$2:$B$101,MATCH(B964,สินค้า!$A$2:$A$101,0)),"ไม่พบรหัส"))</f>
        <v/>
      </c>
      <c r="D964" s="14" t="str">
        <f aca="false">IF(B964="","",IFERROR(INDEX(สินค้า!$D$2:$D$101,MATCH(B964,สินค้า!$A$2:$A$101,0)),""))</f>
        <v/>
      </c>
      <c r="E964" s="6"/>
      <c r="F964" s="8"/>
      <c r="G964" s="8"/>
      <c r="H964" s="8"/>
      <c r="I964" s="15"/>
      <c r="J964" s="15"/>
      <c r="K964" s="10" t="str">
        <f aca="false">IF(J964&lt;&gt;"",J964,IF(I964="","",I964*IFERROR(INDEX(สินค้า!$G$2:$G$101,MATCH(B964,สินค้า!$A$2:$A$101,0)),0)))</f>
        <v/>
      </c>
      <c r="L964" s="16" t="str">
        <f aca="false">IF(OR(F964="",F964=0,G964=""),"",G964/F964)</f>
        <v/>
      </c>
      <c r="M964" s="16" t="str">
        <f aca="false">IF(OR(G964="",G964=0,H964=""),"",H964/G964)</f>
        <v/>
      </c>
    </row>
    <row r="965" customFormat="false" ht="15" hidden="false" customHeight="false" outlineLevel="0" collapsed="false">
      <c r="A965" s="12"/>
      <c r="B965" s="6"/>
      <c r="C965" s="13" t="str">
        <f aca="false">IF(B965="","",IFERROR(INDEX(สินค้า!$B$2:$B$101,MATCH(B965,สินค้า!$A$2:$A$101,0)),"ไม่พบรหัส"))</f>
        <v/>
      </c>
      <c r="D965" s="14" t="str">
        <f aca="false">IF(B965="","",IFERROR(INDEX(สินค้า!$D$2:$D$101,MATCH(B965,สินค้า!$A$2:$A$101,0)),""))</f>
        <v/>
      </c>
      <c r="E965" s="6"/>
      <c r="F965" s="8"/>
      <c r="G965" s="8"/>
      <c r="H965" s="8"/>
      <c r="I965" s="15"/>
      <c r="J965" s="15"/>
      <c r="K965" s="10" t="str">
        <f aca="false">IF(J965&lt;&gt;"",J965,IF(I965="","",I965*IFERROR(INDEX(สินค้า!$G$2:$G$101,MATCH(B965,สินค้า!$A$2:$A$101,0)),0)))</f>
        <v/>
      </c>
      <c r="L965" s="16" t="str">
        <f aca="false">IF(OR(F965="",F965=0,G965=""),"",G965/F965)</f>
        <v/>
      </c>
      <c r="M965" s="16" t="str">
        <f aca="false">IF(OR(G965="",G965=0,H965=""),"",H965/G965)</f>
        <v/>
      </c>
    </row>
    <row r="966" customFormat="false" ht="15" hidden="false" customHeight="false" outlineLevel="0" collapsed="false">
      <c r="A966" s="12"/>
      <c r="B966" s="6"/>
      <c r="C966" s="13" t="str">
        <f aca="false">IF(B966="","",IFERROR(INDEX(สินค้า!$B$2:$B$101,MATCH(B966,สินค้า!$A$2:$A$101,0)),"ไม่พบรหัส"))</f>
        <v/>
      </c>
      <c r="D966" s="14" t="str">
        <f aca="false">IF(B966="","",IFERROR(INDEX(สินค้า!$D$2:$D$101,MATCH(B966,สินค้า!$A$2:$A$101,0)),""))</f>
        <v/>
      </c>
      <c r="E966" s="6"/>
      <c r="F966" s="8"/>
      <c r="G966" s="8"/>
      <c r="H966" s="8"/>
      <c r="I966" s="15"/>
      <c r="J966" s="15"/>
      <c r="K966" s="10" t="str">
        <f aca="false">IF(J966&lt;&gt;"",J966,IF(I966="","",I966*IFERROR(INDEX(สินค้า!$G$2:$G$101,MATCH(B966,สินค้า!$A$2:$A$101,0)),0)))</f>
        <v/>
      </c>
      <c r="L966" s="16" t="str">
        <f aca="false">IF(OR(F966="",F966=0,G966=""),"",G966/F966)</f>
        <v/>
      </c>
      <c r="M966" s="16" t="str">
        <f aca="false">IF(OR(G966="",G966=0,H966=""),"",H966/G966)</f>
        <v/>
      </c>
    </row>
    <row r="967" customFormat="false" ht="15" hidden="false" customHeight="false" outlineLevel="0" collapsed="false">
      <c r="A967" s="12"/>
      <c r="B967" s="6"/>
      <c r="C967" s="13" t="str">
        <f aca="false">IF(B967="","",IFERROR(INDEX(สินค้า!$B$2:$B$101,MATCH(B967,สินค้า!$A$2:$A$101,0)),"ไม่พบรหัส"))</f>
        <v/>
      </c>
      <c r="D967" s="14" t="str">
        <f aca="false">IF(B967="","",IFERROR(INDEX(สินค้า!$D$2:$D$101,MATCH(B967,สินค้า!$A$2:$A$101,0)),""))</f>
        <v/>
      </c>
      <c r="E967" s="6"/>
      <c r="F967" s="8"/>
      <c r="G967" s="8"/>
      <c r="H967" s="8"/>
      <c r="I967" s="15"/>
      <c r="J967" s="15"/>
      <c r="K967" s="10" t="str">
        <f aca="false">IF(J967&lt;&gt;"",J967,IF(I967="","",I967*IFERROR(INDEX(สินค้า!$G$2:$G$101,MATCH(B967,สินค้า!$A$2:$A$101,0)),0)))</f>
        <v/>
      </c>
      <c r="L967" s="16" t="str">
        <f aca="false">IF(OR(F967="",F967=0,G967=""),"",G967/F967)</f>
        <v/>
      </c>
      <c r="M967" s="16" t="str">
        <f aca="false">IF(OR(G967="",G967=0,H967=""),"",H967/G967)</f>
        <v/>
      </c>
    </row>
    <row r="968" customFormat="false" ht="15" hidden="false" customHeight="false" outlineLevel="0" collapsed="false">
      <c r="A968" s="12"/>
      <c r="B968" s="6"/>
      <c r="C968" s="13" t="str">
        <f aca="false">IF(B968="","",IFERROR(INDEX(สินค้า!$B$2:$B$101,MATCH(B968,สินค้า!$A$2:$A$101,0)),"ไม่พบรหัส"))</f>
        <v/>
      </c>
      <c r="D968" s="14" t="str">
        <f aca="false">IF(B968="","",IFERROR(INDEX(สินค้า!$D$2:$D$101,MATCH(B968,สินค้า!$A$2:$A$101,0)),""))</f>
        <v/>
      </c>
      <c r="E968" s="6"/>
      <c r="F968" s="8"/>
      <c r="G968" s="8"/>
      <c r="H968" s="8"/>
      <c r="I968" s="15"/>
      <c r="J968" s="15"/>
      <c r="K968" s="10" t="str">
        <f aca="false">IF(J968&lt;&gt;"",J968,IF(I968="","",I968*IFERROR(INDEX(สินค้า!$G$2:$G$101,MATCH(B968,สินค้า!$A$2:$A$101,0)),0)))</f>
        <v/>
      </c>
      <c r="L968" s="16" t="str">
        <f aca="false">IF(OR(F968="",F968=0,G968=""),"",G968/F968)</f>
        <v/>
      </c>
      <c r="M968" s="16" t="str">
        <f aca="false">IF(OR(G968="",G968=0,H968=""),"",H968/G968)</f>
        <v/>
      </c>
    </row>
    <row r="969" customFormat="false" ht="15" hidden="false" customHeight="false" outlineLevel="0" collapsed="false">
      <c r="A969" s="12"/>
      <c r="B969" s="6"/>
      <c r="C969" s="13" t="str">
        <f aca="false">IF(B969="","",IFERROR(INDEX(สินค้า!$B$2:$B$101,MATCH(B969,สินค้า!$A$2:$A$101,0)),"ไม่พบรหัส"))</f>
        <v/>
      </c>
      <c r="D969" s="14" t="str">
        <f aca="false">IF(B969="","",IFERROR(INDEX(สินค้า!$D$2:$D$101,MATCH(B969,สินค้า!$A$2:$A$101,0)),""))</f>
        <v/>
      </c>
      <c r="E969" s="6"/>
      <c r="F969" s="8"/>
      <c r="G969" s="8"/>
      <c r="H969" s="8"/>
      <c r="I969" s="15"/>
      <c r="J969" s="15"/>
      <c r="K969" s="10" t="str">
        <f aca="false">IF(J969&lt;&gt;"",J969,IF(I969="","",I969*IFERROR(INDEX(สินค้า!$G$2:$G$101,MATCH(B969,สินค้า!$A$2:$A$101,0)),0)))</f>
        <v/>
      </c>
      <c r="L969" s="16" t="str">
        <f aca="false">IF(OR(F969="",F969=0,G969=""),"",G969/F969)</f>
        <v/>
      </c>
      <c r="M969" s="16" t="str">
        <f aca="false">IF(OR(G969="",G969=0,H969=""),"",H969/G969)</f>
        <v/>
      </c>
    </row>
    <row r="970" customFormat="false" ht="15" hidden="false" customHeight="false" outlineLevel="0" collapsed="false">
      <c r="A970" s="12"/>
      <c r="B970" s="6"/>
      <c r="C970" s="13" t="str">
        <f aca="false">IF(B970="","",IFERROR(INDEX(สินค้า!$B$2:$B$101,MATCH(B970,สินค้า!$A$2:$A$101,0)),"ไม่พบรหัส"))</f>
        <v/>
      </c>
      <c r="D970" s="14" t="str">
        <f aca="false">IF(B970="","",IFERROR(INDEX(สินค้า!$D$2:$D$101,MATCH(B970,สินค้า!$A$2:$A$101,0)),""))</f>
        <v/>
      </c>
      <c r="E970" s="6"/>
      <c r="F970" s="8"/>
      <c r="G970" s="8"/>
      <c r="H970" s="8"/>
      <c r="I970" s="15"/>
      <c r="J970" s="15"/>
      <c r="K970" s="10" t="str">
        <f aca="false">IF(J970&lt;&gt;"",J970,IF(I970="","",I970*IFERROR(INDEX(สินค้า!$G$2:$G$101,MATCH(B970,สินค้า!$A$2:$A$101,0)),0)))</f>
        <v/>
      </c>
      <c r="L970" s="16" t="str">
        <f aca="false">IF(OR(F970="",F970=0,G970=""),"",G970/F970)</f>
        <v/>
      </c>
      <c r="M970" s="16" t="str">
        <f aca="false">IF(OR(G970="",G970=0,H970=""),"",H970/G970)</f>
        <v/>
      </c>
    </row>
    <row r="971" customFormat="false" ht="15" hidden="false" customHeight="false" outlineLevel="0" collapsed="false">
      <c r="A971" s="12"/>
      <c r="B971" s="6"/>
      <c r="C971" s="13" t="str">
        <f aca="false">IF(B971="","",IFERROR(INDEX(สินค้า!$B$2:$B$101,MATCH(B971,สินค้า!$A$2:$A$101,0)),"ไม่พบรหัส"))</f>
        <v/>
      </c>
      <c r="D971" s="14" t="str">
        <f aca="false">IF(B971="","",IFERROR(INDEX(สินค้า!$D$2:$D$101,MATCH(B971,สินค้า!$A$2:$A$101,0)),""))</f>
        <v/>
      </c>
      <c r="E971" s="6"/>
      <c r="F971" s="8"/>
      <c r="G971" s="8"/>
      <c r="H971" s="8"/>
      <c r="I971" s="15"/>
      <c r="J971" s="15"/>
      <c r="K971" s="10" t="str">
        <f aca="false">IF(J971&lt;&gt;"",J971,IF(I971="","",I971*IFERROR(INDEX(สินค้า!$G$2:$G$101,MATCH(B971,สินค้า!$A$2:$A$101,0)),0)))</f>
        <v/>
      </c>
      <c r="L971" s="16" t="str">
        <f aca="false">IF(OR(F971="",F971=0,G971=""),"",G971/F971)</f>
        <v/>
      </c>
      <c r="M971" s="16" t="str">
        <f aca="false">IF(OR(G971="",G971=0,H971=""),"",H971/G971)</f>
        <v/>
      </c>
    </row>
    <row r="972" customFormat="false" ht="15" hidden="false" customHeight="false" outlineLevel="0" collapsed="false">
      <c r="A972" s="12"/>
      <c r="B972" s="6"/>
      <c r="C972" s="13" t="str">
        <f aca="false">IF(B972="","",IFERROR(INDEX(สินค้า!$B$2:$B$101,MATCH(B972,สินค้า!$A$2:$A$101,0)),"ไม่พบรหัส"))</f>
        <v/>
      </c>
      <c r="D972" s="14" t="str">
        <f aca="false">IF(B972="","",IFERROR(INDEX(สินค้า!$D$2:$D$101,MATCH(B972,สินค้า!$A$2:$A$101,0)),""))</f>
        <v/>
      </c>
      <c r="E972" s="6"/>
      <c r="F972" s="8"/>
      <c r="G972" s="8"/>
      <c r="H972" s="8"/>
      <c r="I972" s="15"/>
      <c r="J972" s="15"/>
      <c r="K972" s="10" t="str">
        <f aca="false">IF(J972&lt;&gt;"",J972,IF(I972="","",I972*IFERROR(INDEX(สินค้า!$G$2:$G$101,MATCH(B972,สินค้า!$A$2:$A$101,0)),0)))</f>
        <v/>
      </c>
      <c r="L972" s="16" t="str">
        <f aca="false">IF(OR(F972="",F972=0,G972=""),"",G972/F972)</f>
        <v/>
      </c>
      <c r="M972" s="16" t="str">
        <f aca="false">IF(OR(G972="",G972=0,H972=""),"",H972/G972)</f>
        <v/>
      </c>
    </row>
    <row r="973" customFormat="false" ht="15" hidden="false" customHeight="false" outlineLevel="0" collapsed="false">
      <c r="A973" s="12"/>
      <c r="B973" s="6"/>
      <c r="C973" s="13" t="str">
        <f aca="false">IF(B973="","",IFERROR(INDEX(สินค้า!$B$2:$B$101,MATCH(B973,สินค้า!$A$2:$A$101,0)),"ไม่พบรหัส"))</f>
        <v/>
      </c>
      <c r="D973" s="14" t="str">
        <f aca="false">IF(B973="","",IFERROR(INDEX(สินค้า!$D$2:$D$101,MATCH(B973,สินค้า!$A$2:$A$101,0)),""))</f>
        <v/>
      </c>
      <c r="E973" s="6"/>
      <c r="F973" s="8"/>
      <c r="G973" s="8"/>
      <c r="H973" s="8"/>
      <c r="I973" s="15"/>
      <c r="J973" s="15"/>
      <c r="K973" s="10" t="str">
        <f aca="false">IF(J973&lt;&gt;"",J973,IF(I973="","",I973*IFERROR(INDEX(สินค้า!$G$2:$G$101,MATCH(B973,สินค้า!$A$2:$A$101,0)),0)))</f>
        <v/>
      </c>
      <c r="L973" s="16" t="str">
        <f aca="false">IF(OR(F973="",F973=0,G973=""),"",G973/F973)</f>
        <v/>
      </c>
      <c r="M973" s="16" t="str">
        <f aca="false">IF(OR(G973="",G973=0,H973=""),"",H973/G973)</f>
        <v/>
      </c>
    </row>
    <row r="974" customFormat="false" ht="15" hidden="false" customHeight="false" outlineLevel="0" collapsed="false">
      <c r="A974" s="12"/>
      <c r="B974" s="6"/>
      <c r="C974" s="13" t="str">
        <f aca="false">IF(B974="","",IFERROR(INDEX(สินค้า!$B$2:$B$101,MATCH(B974,สินค้า!$A$2:$A$101,0)),"ไม่พบรหัส"))</f>
        <v/>
      </c>
      <c r="D974" s="14" t="str">
        <f aca="false">IF(B974="","",IFERROR(INDEX(สินค้า!$D$2:$D$101,MATCH(B974,สินค้า!$A$2:$A$101,0)),""))</f>
        <v/>
      </c>
      <c r="E974" s="6"/>
      <c r="F974" s="8"/>
      <c r="G974" s="8"/>
      <c r="H974" s="8"/>
      <c r="I974" s="15"/>
      <c r="J974" s="15"/>
      <c r="K974" s="10" t="str">
        <f aca="false">IF(J974&lt;&gt;"",J974,IF(I974="","",I974*IFERROR(INDEX(สินค้า!$G$2:$G$101,MATCH(B974,สินค้า!$A$2:$A$101,0)),0)))</f>
        <v/>
      </c>
      <c r="L974" s="16" t="str">
        <f aca="false">IF(OR(F974="",F974=0,G974=""),"",G974/F974)</f>
        <v/>
      </c>
      <c r="M974" s="16" t="str">
        <f aca="false">IF(OR(G974="",G974=0,H974=""),"",H974/G974)</f>
        <v/>
      </c>
    </row>
    <row r="975" customFormat="false" ht="15" hidden="false" customHeight="false" outlineLevel="0" collapsed="false">
      <c r="A975" s="12"/>
      <c r="B975" s="6"/>
      <c r="C975" s="13" t="str">
        <f aca="false">IF(B975="","",IFERROR(INDEX(สินค้า!$B$2:$B$101,MATCH(B975,สินค้า!$A$2:$A$101,0)),"ไม่พบรหัส"))</f>
        <v/>
      </c>
      <c r="D975" s="14" t="str">
        <f aca="false">IF(B975="","",IFERROR(INDEX(สินค้า!$D$2:$D$101,MATCH(B975,สินค้า!$A$2:$A$101,0)),""))</f>
        <v/>
      </c>
      <c r="E975" s="6"/>
      <c r="F975" s="8"/>
      <c r="G975" s="8"/>
      <c r="H975" s="8"/>
      <c r="I975" s="15"/>
      <c r="J975" s="15"/>
      <c r="K975" s="10" t="str">
        <f aca="false">IF(J975&lt;&gt;"",J975,IF(I975="","",I975*IFERROR(INDEX(สินค้า!$G$2:$G$101,MATCH(B975,สินค้า!$A$2:$A$101,0)),0)))</f>
        <v/>
      </c>
      <c r="L975" s="16" t="str">
        <f aca="false">IF(OR(F975="",F975=0,G975=""),"",G975/F975)</f>
        <v/>
      </c>
      <c r="M975" s="16" t="str">
        <f aca="false">IF(OR(G975="",G975=0,H975=""),"",H975/G975)</f>
        <v/>
      </c>
    </row>
    <row r="976" customFormat="false" ht="15" hidden="false" customHeight="false" outlineLevel="0" collapsed="false">
      <c r="A976" s="12"/>
      <c r="B976" s="6"/>
      <c r="C976" s="13" t="str">
        <f aca="false">IF(B976="","",IFERROR(INDEX(สินค้า!$B$2:$B$101,MATCH(B976,สินค้า!$A$2:$A$101,0)),"ไม่พบรหัส"))</f>
        <v/>
      </c>
      <c r="D976" s="14" t="str">
        <f aca="false">IF(B976="","",IFERROR(INDEX(สินค้า!$D$2:$D$101,MATCH(B976,สินค้า!$A$2:$A$101,0)),""))</f>
        <v/>
      </c>
      <c r="E976" s="6"/>
      <c r="F976" s="8"/>
      <c r="G976" s="8"/>
      <c r="H976" s="8"/>
      <c r="I976" s="15"/>
      <c r="J976" s="15"/>
      <c r="K976" s="10" t="str">
        <f aca="false">IF(J976&lt;&gt;"",J976,IF(I976="","",I976*IFERROR(INDEX(สินค้า!$G$2:$G$101,MATCH(B976,สินค้า!$A$2:$A$101,0)),0)))</f>
        <v/>
      </c>
      <c r="L976" s="16" t="str">
        <f aca="false">IF(OR(F976="",F976=0,G976=""),"",G976/F976)</f>
        <v/>
      </c>
      <c r="M976" s="16" t="str">
        <f aca="false">IF(OR(G976="",G976=0,H976=""),"",H976/G976)</f>
        <v/>
      </c>
    </row>
    <row r="977" customFormat="false" ht="15" hidden="false" customHeight="false" outlineLevel="0" collapsed="false">
      <c r="A977" s="12"/>
      <c r="B977" s="6"/>
      <c r="C977" s="13" t="str">
        <f aca="false">IF(B977="","",IFERROR(INDEX(สินค้า!$B$2:$B$101,MATCH(B977,สินค้า!$A$2:$A$101,0)),"ไม่พบรหัส"))</f>
        <v/>
      </c>
      <c r="D977" s="14" t="str">
        <f aca="false">IF(B977="","",IFERROR(INDEX(สินค้า!$D$2:$D$101,MATCH(B977,สินค้า!$A$2:$A$101,0)),""))</f>
        <v/>
      </c>
      <c r="E977" s="6"/>
      <c r="F977" s="8"/>
      <c r="G977" s="8"/>
      <c r="H977" s="8"/>
      <c r="I977" s="15"/>
      <c r="J977" s="15"/>
      <c r="K977" s="10" t="str">
        <f aca="false">IF(J977&lt;&gt;"",J977,IF(I977="","",I977*IFERROR(INDEX(สินค้า!$G$2:$G$101,MATCH(B977,สินค้า!$A$2:$A$101,0)),0)))</f>
        <v/>
      </c>
      <c r="L977" s="16" t="str">
        <f aca="false">IF(OR(F977="",F977=0,G977=""),"",G977/F977)</f>
        <v/>
      </c>
      <c r="M977" s="16" t="str">
        <f aca="false">IF(OR(G977="",G977=0,H977=""),"",H977/G977)</f>
        <v/>
      </c>
    </row>
    <row r="978" customFormat="false" ht="15" hidden="false" customHeight="false" outlineLevel="0" collapsed="false">
      <c r="A978" s="12"/>
      <c r="B978" s="6"/>
      <c r="C978" s="13" t="str">
        <f aca="false">IF(B978="","",IFERROR(INDEX(สินค้า!$B$2:$B$101,MATCH(B978,สินค้า!$A$2:$A$101,0)),"ไม่พบรหัส"))</f>
        <v/>
      </c>
      <c r="D978" s="14" t="str">
        <f aca="false">IF(B978="","",IFERROR(INDEX(สินค้า!$D$2:$D$101,MATCH(B978,สินค้า!$A$2:$A$101,0)),""))</f>
        <v/>
      </c>
      <c r="E978" s="6"/>
      <c r="F978" s="8"/>
      <c r="G978" s="8"/>
      <c r="H978" s="8"/>
      <c r="I978" s="15"/>
      <c r="J978" s="15"/>
      <c r="K978" s="10" t="str">
        <f aca="false">IF(J978&lt;&gt;"",J978,IF(I978="","",I978*IFERROR(INDEX(สินค้า!$G$2:$G$101,MATCH(B978,สินค้า!$A$2:$A$101,0)),0)))</f>
        <v/>
      </c>
      <c r="L978" s="16" t="str">
        <f aca="false">IF(OR(F978="",F978=0,G978=""),"",G978/F978)</f>
        <v/>
      </c>
      <c r="M978" s="16" t="str">
        <f aca="false">IF(OR(G978="",G978=0,H978=""),"",H978/G978)</f>
        <v/>
      </c>
    </row>
    <row r="979" customFormat="false" ht="15" hidden="false" customHeight="false" outlineLevel="0" collapsed="false">
      <c r="A979" s="12"/>
      <c r="B979" s="6"/>
      <c r="C979" s="13" t="str">
        <f aca="false">IF(B979="","",IFERROR(INDEX(สินค้า!$B$2:$B$101,MATCH(B979,สินค้า!$A$2:$A$101,0)),"ไม่พบรหัส"))</f>
        <v/>
      </c>
      <c r="D979" s="14" t="str">
        <f aca="false">IF(B979="","",IFERROR(INDEX(สินค้า!$D$2:$D$101,MATCH(B979,สินค้า!$A$2:$A$101,0)),""))</f>
        <v/>
      </c>
      <c r="E979" s="6"/>
      <c r="F979" s="8"/>
      <c r="G979" s="8"/>
      <c r="H979" s="8"/>
      <c r="I979" s="15"/>
      <c r="J979" s="15"/>
      <c r="K979" s="10" t="str">
        <f aca="false">IF(J979&lt;&gt;"",J979,IF(I979="","",I979*IFERROR(INDEX(สินค้า!$G$2:$G$101,MATCH(B979,สินค้า!$A$2:$A$101,0)),0)))</f>
        <v/>
      </c>
      <c r="L979" s="16" t="str">
        <f aca="false">IF(OR(F979="",F979=0,G979=""),"",G979/F979)</f>
        <v/>
      </c>
      <c r="M979" s="16" t="str">
        <f aca="false">IF(OR(G979="",G979=0,H979=""),"",H979/G979)</f>
        <v/>
      </c>
    </row>
    <row r="980" customFormat="false" ht="15" hidden="false" customHeight="false" outlineLevel="0" collapsed="false">
      <c r="A980" s="12"/>
      <c r="B980" s="6"/>
      <c r="C980" s="13" t="str">
        <f aca="false">IF(B980="","",IFERROR(INDEX(สินค้า!$B$2:$B$101,MATCH(B980,สินค้า!$A$2:$A$101,0)),"ไม่พบรหัส"))</f>
        <v/>
      </c>
      <c r="D980" s="14" t="str">
        <f aca="false">IF(B980="","",IFERROR(INDEX(สินค้า!$D$2:$D$101,MATCH(B980,สินค้า!$A$2:$A$101,0)),""))</f>
        <v/>
      </c>
      <c r="E980" s="6"/>
      <c r="F980" s="8"/>
      <c r="G980" s="8"/>
      <c r="H980" s="8"/>
      <c r="I980" s="15"/>
      <c r="J980" s="15"/>
      <c r="K980" s="10" t="str">
        <f aca="false">IF(J980&lt;&gt;"",J980,IF(I980="","",I980*IFERROR(INDEX(สินค้า!$G$2:$G$101,MATCH(B980,สินค้า!$A$2:$A$101,0)),0)))</f>
        <v/>
      </c>
      <c r="L980" s="16" t="str">
        <f aca="false">IF(OR(F980="",F980=0,G980=""),"",G980/F980)</f>
        <v/>
      </c>
      <c r="M980" s="16" t="str">
        <f aca="false">IF(OR(G980="",G980=0,H980=""),"",H980/G980)</f>
        <v/>
      </c>
    </row>
    <row r="981" customFormat="false" ht="15" hidden="false" customHeight="false" outlineLevel="0" collapsed="false">
      <c r="A981" s="12"/>
      <c r="B981" s="6"/>
      <c r="C981" s="13" t="str">
        <f aca="false">IF(B981="","",IFERROR(INDEX(สินค้า!$B$2:$B$101,MATCH(B981,สินค้า!$A$2:$A$101,0)),"ไม่พบรหัส"))</f>
        <v/>
      </c>
      <c r="D981" s="14" t="str">
        <f aca="false">IF(B981="","",IFERROR(INDEX(สินค้า!$D$2:$D$101,MATCH(B981,สินค้า!$A$2:$A$101,0)),""))</f>
        <v/>
      </c>
      <c r="E981" s="6"/>
      <c r="F981" s="8"/>
      <c r="G981" s="8"/>
      <c r="H981" s="8"/>
      <c r="I981" s="15"/>
      <c r="J981" s="15"/>
      <c r="K981" s="10" t="str">
        <f aca="false">IF(J981&lt;&gt;"",J981,IF(I981="","",I981*IFERROR(INDEX(สินค้า!$G$2:$G$101,MATCH(B981,สินค้า!$A$2:$A$101,0)),0)))</f>
        <v/>
      </c>
      <c r="L981" s="16" t="str">
        <f aca="false">IF(OR(F981="",F981=0,G981=""),"",G981/F981)</f>
        <v/>
      </c>
      <c r="M981" s="16" t="str">
        <f aca="false">IF(OR(G981="",G981=0,H981=""),"",H981/G981)</f>
        <v/>
      </c>
    </row>
    <row r="982" customFormat="false" ht="15" hidden="false" customHeight="false" outlineLevel="0" collapsed="false">
      <c r="A982" s="12"/>
      <c r="B982" s="6"/>
      <c r="C982" s="13" t="str">
        <f aca="false">IF(B982="","",IFERROR(INDEX(สินค้า!$B$2:$B$101,MATCH(B982,สินค้า!$A$2:$A$101,0)),"ไม่พบรหัส"))</f>
        <v/>
      </c>
      <c r="D982" s="14" t="str">
        <f aca="false">IF(B982="","",IFERROR(INDEX(สินค้า!$D$2:$D$101,MATCH(B982,สินค้า!$A$2:$A$101,0)),""))</f>
        <v/>
      </c>
      <c r="E982" s="6"/>
      <c r="F982" s="8"/>
      <c r="G982" s="8"/>
      <c r="H982" s="8"/>
      <c r="I982" s="15"/>
      <c r="J982" s="15"/>
      <c r="K982" s="10" t="str">
        <f aca="false">IF(J982&lt;&gt;"",J982,IF(I982="","",I982*IFERROR(INDEX(สินค้า!$G$2:$G$101,MATCH(B982,สินค้า!$A$2:$A$101,0)),0)))</f>
        <v/>
      </c>
      <c r="L982" s="16" t="str">
        <f aca="false">IF(OR(F982="",F982=0,G982=""),"",G982/F982)</f>
        <v/>
      </c>
      <c r="M982" s="16" t="str">
        <f aca="false">IF(OR(G982="",G982=0,H982=""),"",H982/G982)</f>
        <v/>
      </c>
    </row>
    <row r="983" customFormat="false" ht="15" hidden="false" customHeight="false" outlineLevel="0" collapsed="false">
      <c r="A983" s="12"/>
      <c r="B983" s="6"/>
      <c r="C983" s="13" t="str">
        <f aca="false">IF(B983="","",IFERROR(INDEX(สินค้า!$B$2:$B$101,MATCH(B983,สินค้า!$A$2:$A$101,0)),"ไม่พบรหัส"))</f>
        <v/>
      </c>
      <c r="D983" s="14" t="str">
        <f aca="false">IF(B983="","",IFERROR(INDEX(สินค้า!$D$2:$D$101,MATCH(B983,สินค้า!$A$2:$A$101,0)),""))</f>
        <v/>
      </c>
      <c r="E983" s="6"/>
      <c r="F983" s="8"/>
      <c r="G983" s="8"/>
      <c r="H983" s="8"/>
      <c r="I983" s="15"/>
      <c r="J983" s="15"/>
      <c r="K983" s="10" t="str">
        <f aca="false">IF(J983&lt;&gt;"",J983,IF(I983="","",I983*IFERROR(INDEX(สินค้า!$G$2:$G$101,MATCH(B983,สินค้า!$A$2:$A$101,0)),0)))</f>
        <v/>
      </c>
      <c r="L983" s="16" t="str">
        <f aca="false">IF(OR(F983="",F983=0,G983=""),"",G983/F983)</f>
        <v/>
      </c>
      <c r="M983" s="16" t="str">
        <f aca="false">IF(OR(G983="",G983=0,H983=""),"",H983/G983)</f>
        <v/>
      </c>
    </row>
    <row r="984" customFormat="false" ht="15" hidden="false" customHeight="false" outlineLevel="0" collapsed="false">
      <c r="A984" s="12"/>
      <c r="B984" s="6"/>
      <c r="C984" s="13" t="str">
        <f aca="false">IF(B984="","",IFERROR(INDEX(สินค้า!$B$2:$B$101,MATCH(B984,สินค้า!$A$2:$A$101,0)),"ไม่พบรหัส"))</f>
        <v/>
      </c>
      <c r="D984" s="14" t="str">
        <f aca="false">IF(B984="","",IFERROR(INDEX(สินค้า!$D$2:$D$101,MATCH(B984,สินค้า!$A$2:$A$101,0)),""))</f>
        <v/>
      </c>
      <c r="E984" s="6"/>
      <c r="F984" s="8"/>
      <c r="G984" s="8"/>
      <c r="H984" s="8"/>
      <c r="I984" s="15"/>
      <c r="J984" s="15"/>
      <c r="K984" s="10" t="str">
        <f aca="false">IF(J984&lt;&gt;"",J984,IF(I984="","",I984*IFERROR(INDEX(สินค้า!$G$2:$G$101,MATCH(B984,สินค้า!$A$2:$A$101,0)),0)))</f>
        <v/>
      </c>
      <c r="L984" s="16" t="str">
        <f aca="false">IF(OR(F984="",F984=0,G984=""),"",G984/F984)</f>
        <v/>
      </c>
      <c r="M984" s="16" t="str">
        <f aca="false">IF(OR(G984="",G984=0,H984=""),"",H984/G984)</f>
        <v/>
      </c>
    </row>
    <row r="985" customFormat="false" ht="15" hidden="false" customHeight="false" outlineLevel="0" collapsed="false">
      <c r="A985" s="12"/>
      <c r="B985" s="6"/>
      <c r="C985" s="13" t="str">
        <f aca="false">IF(B985="","",IFERROR(INDEX(สินค้า!$B$2:$B$101,MATCH(B985,สินค้า!$A$2:$A$101,0)),"ไม่พบรหัส"))</f>
        <v/>
      </c>
      <c r="D985" s="14" t="str">
        <f aca="false">IF(B985="","",IFERROR(INDEX(สินค้า!$D$2:$D$101,MATCH(B985,สินค้า!$A$2:$A$101,0)),""))</f>
        <v/>
      </c>
      <c r="E985" s="6"/>
      <c r="F985" s="8"/>
      <c r="G985" s="8"/>
      <c r="H985" s="8"/>
      <c r="I985" s="15"/>
      <c r="J985" s="15"/>
      <c r="K985" s="10" t="str">
        <f aca="false">IF(J985&lt;&gt;"",J985,IF(I985="","",I985*IFERROR(INDEX(สินค้า!$G$2:$G$101,MATCH(B985,สินค้า!$A$2:$A$101,0)),0)))</f>
        <v/>
      </c>
      <c r="L985" s="16" t="str">
        <f aca="false">IF(OR(F985="",F985=0,G985=""),"",G985/F985)</f>
        <v/>
      </c>
      <c r="M985" s="16" t="str">
        <f aca="false">IF(OR(G985="",G985=0,H985=""),"",H985/G985)</f>
        <v/>
      </c>
    </row>
    <row r="986" customFormat="false" ht="15" hidden="false" customHeight="false" outlineLevel="0" collapsed="false">
      <c r="A986" s="12"/>
      <c r="B986" s="6"/>
      <c r="C986" s="13" t="str">
        <f aca="false">IF(B986="","",IFERROR(INDEX(สินค้า!$B$2:$B$101,MATCH(B986,สินค้า!$A$2:$A$101,0)),"ไม่พบรหัส"))</f>
        <v/>
      </c>
      <c r="D986" s="14" t="str">
        <f aca="false">IF(B986="","",IFERROR(INDEX(สินค้า!$D$2:$D$101,MATCH(B986,สินค้า!$A$2:$A$101,0)),""))</f>
        <v/>
      </c>
      <c r="E986" s="6"/>
      <c r="F986" s="8"/>
      <c r="G986" s="8"/>
      <c r="H986" s="8"/>
      <c r="I986" s="15"/>
      <c r="J986" s="15"/>
      <c r="K986" s="10" t="str">
        <f aca="false">IF(J986&lt;&gt;"",J986,IF(I986="","",I986*IFERROR(INDEX(สินค้า!$G$2:$G$101,MATCH(B986,สินค้า!$A$2:$A$101,0)),0)))</f>
        <v/>
      </c>
      <c r="L986" s="16" t="str">
        <f aca="false">IF(OR(F986="",F986=0,G986=""),"",G986/F986)</f>
        <v/>
      </c>
      <c r="M986" s="16" t="str">
        <f aca="false">IF(OR(G986="",G986=0,H986=""),"",H986/G986)</f>
        <v/>
      </c>
    </row>
    <row r="987" customFormat="false" ht="15" hidden="false" customHeight="false" outlineLevel="0" collapsed="false">
      <c r="A987" s="12"/>
      <c r="B987" s="6"/>
      <c r="C987" s="13" t="str">
        <f aca="false">IF(B987="","",IFERROR(INDEX(สินค้า!$B$2:$B$101,MATCH(B987,สินค้า!$A$2:$A$101,0)),"ไม่พบรหัส"))</f>
        <v/>
      </c>
      <c r="D987" s="14" t="str">
        <f aca="false">IF(B987="","",IFERROR(INDEX(สินค้า!$D$2:$D$101,MATCH(B987,สินค้า!$A$2:$A$101,0)),""))</f>
        <v/>
      </c>
      <c r="E987" s="6"/>
      <c r="F987" s="8"/>
      <c r="G987" s="8"/>
      <c r="H987" s="8"/>
      <c r="I987" s="15"/>
      <c r="J987" s="15"/>
      <c r="K987" s="10" t="str">
        <f aca="false">IF(J987&lt;&gt;"",J987,IF(I987="","",I987*IFERROR(INDEX(สินค้า!$G$2:$G$101,MATCH(B987,สินค้า!$A$2:$A$101,0)),0)))</f>
        <v/>
      </c>
      <c r="L987" s="16" t="str">
        <f aca="false">IF(OR(F987="",F987=0,G987=""),"",G987/F987)</f>
        <v/>
      </c>
      <c r="M987" s="16" t="str">
        <f aca="false">IF(OR(G987="",G987=0,H987=""),"",H987/G987)</f>
        <v/>
      </c>
    </row>
    <row r="988" customFormat="false" ht="15" hidden="false" customHeight="false" outlineLevel="0" collapsed="false">
      <c r="A988" s="12"/>
      <c r="B988" s="6"/>
      <c r="C988" s="13" t="str">
        <f aca="false">IF(B988="","",IFERROR(INDEX(สินค้า!$B$2:$B$101,MATCH(B988,สินค้า!$A$2:$A$101,0)),"ไม่พบรหัส"))</f>
        <v/>
      </c>
      <c r="D988" s="14" t="str">
        <f aca="false">IF(B988="","",IFERROR(INDEX(สินค้า!$D$2:$D$101,MATCH(B988,สินค้า!$A$2:$A$101,0)),""))</f>
        <v/>
      </c>
      <c r="E988" s="6"/>
      <c r="F988" s="8"/>
      <c r="G988" s="8"/>
      <c r="H988" s="8"/>
      <c r="I988" s="15"/>
      <c r="J988" s="15"/>
      <c r="K988" s="10" t="str">
        <f aca="false">IF(J988&lt;&gt;"",J988,IF(I988="","",I988*IFERROR(INDEX(สินค้า!$G$2:$G$101,MATCH(B988,สินค้า!$A$2:$A$101,0)),0)))</f>
        <v/>
      </c>
      <c r="L988" s="16" t="str">
        <f aca="false">IF(OR(F988="",F988=0,G988=""),"",G988/F988)</f>
        <v/>
      </c>
      <c r="M988" s="16" t="str">
        <f aca="false">IF(OR(G988="",G988=0,H988=""),"",H988/G988)</f>
        <v/>
      </c>
    </row>
    <row r="989" customFormat="false" ht="15" hidden="false" customHeight="false" outlineLevel="0" collapsed="false">
      <c r="A989" s="12"/>
      <c r="B989" s="6"/>
      <c r="C989" s="13" t="str">
        <f aca="false">IF(B989="","",IFERROR(INDEX(สินค้า!$B$2:$B$101,MATCH(B989,สินค้า!$A$2:$A$101,0)),"ไม่พบรหัส"))</f>
        <v/>
      </c>
      <c r="D989" s="14" t="str">
        <f aca="false">IF(B989="","",IFERROR(INDEX(สินค้า!$D$2:$D$101,MATCH(B989,สินค้า!$A$2:$A$101,0)),""))</f>
        <v/>
      </c>
      <c r="E989" s="6"/>
      <c r="F989" s="8"/>
      <c r="G989" s="8"/>
      <c r="H989" s="8"/>
      <c r="I989" s="15"/>
      <c r="J989" s="15"/>
      <c r="K989" s="10" t="str">
        <f aca="false">IF(J989&lt;&gt;"",J989,IF(I989="","",I989*IFERROR(INDEX(สินค้า!$G$2:$G$101,MATCH(B989,สินค้า!$A$2:$A$101,0)),0)))</f>
        <v/>
      </c>
      <c r="L989" s="16" t="str">
        <f aca="false">IF(OR(F989="",F989=0,G989=""),"",G989/F989)</f>
        <v/>
      </c>
      <c r="M989" s="16" t="str">
        <f aca="false">IF(OR(G989="",G989=0,H989=""),"",H989/G989)</f>
        <v/>
      </c>
    </row>
    <row r="990" customFormat="false" ht="15" hidden="false" customHeight="false" outlineLevel="0" collapsed="false">
      <c r="A990" s="12"/>
      <c r="B990" s="6"/>
      <c r="C990" s="13" t="str">
        <f aca="false">IF(B990="","",IFERROR(INDEX(สินค้า!$B$2:$B$101,MATCH(B990,สินค้า!$A$2:$A$101,0)),"ไม่พบรหัส"))</f>
        <v/>
      </c>
      <c r="D990" s="14" t="str">
        <f aca="false">IF(B990="","",IFERROR(INDEX(สินค้า!$D$2:$D$101,MATCH(B990,สินค้า!$A$2:$A$101,0)),""))</f>
        <v/>
      </c>
      <c r="E990" s="6"/>
      <c r="F990" s="8"/>
      <c r="G990" s="8"/>
      <c r="H990" s="8"/>
      <c r="I990" s="15"/>
      <c r="J990" s="15"/>
      <c r="K990" s="10" t="str">
        <f aca="false">IF(J990&lt;&gt;"",J990,IF(I990="","",I990*IFERROR(INDEX(สินค้า!$G$2:$G$101,MATCH(B990,สินค้า!$A$2:$A$101,0)),0)))</f>
        <v/>
      </c>
      <c r="L990" s="16" t="str">
        <f aca="false">IF(OR(F990="",F990=0,G990=""),"",G990/F990)</f>
        <v/>
      </c>
      <c r="M990" s="16" t="str">
        <f aca="false">IF(OR(G990="",G990=0,H990=""),"",H990/G990)</f>
        <v/>
      </c>
    </row>
    <row r="991" customFormat="false" ht="15" hidden="false" customHeight="false" outlineLevel="0" collapsed="false">
      <c r="A991" s="12"/>
      <c r="B991" s="6"/>
      <c r="C991" s="13" t="str">
        <f aca="false">IF(B991="","",IFERROR(INDEX(สินค้า!$B$2:$B$101,MATCH(B991,สินค้า!$A$2:$A$101,0)),"ไม่พบรหัส"))</f>
        <v/>
      </c>
      <c r="D991" s="14" t="str">
        <f aca="false">IF(B991="","",IFERROR(INDEX(สินค้า!$D$2:$D$101,MATCH(B991,สินค้า!$A$2:$A$101,0)),""))</f>
        <v/>
      </c>
      <c r="E991" s="6"/>
      <c r="F991" s="8"/>
      <c r="G991" s="8"/>
      <c r="H991" s="8"/>
      <c r="I991" s="15"/>
      <c r="J991" s="15"/>
      <c r="K991" s="10" t="str">
        <f aca="false">IF(J991&lt;&gt;"",J991,IF(I991="","",I991*IFERROR(INDEX(สินค้า!$G$2:$G$101,MATCH(B991,สินค้า!$A$2:$A$101,0)),0)))</f>
        <v/>
      </c>
      <c r="L991" s="16" t="str">
        <f aca="false">IF(OR(F991="",F991=0,G991=""),"",G991/F991)</f>
        <v/>
      </c>
      <c r="M991" s="16" t="str">
        <f aca="false">IF(OR(G991="",G991=0,H991=""),"",H991/G991)</f>
        <v/>
      </c>
    </row>
    <row r="992" customFormat="false" ht="15" hidden="false" customHeight="false" outlineLevel="0" collapsed="false">
      <c r="A992" s="12"/>
      <c r="B992" s="6"/>
      <c r="C992" s="13" t="str">
        <f aca="false">IF(B992="","",IFERROR(INDEX(สินค้า!$B$2:$B$101,MATCH(B992,สินค้า!$A$2:$A$101,0)),"ไม่พบรหัส"))</f>
        <v/>
      </c>
      <c r="D992" s="14" t="str">
        <f aca="false">IF(B992="","",IFERROR(INDEX(สินค้า!$D$2:$D$101,MATCH(B992,สินค้า!$A$2:$A$101,0)),""))</f>
        <v/>
      </c>
      <c r="E992" s="6"/>
      <c r="F992" s="8"/>
      <c r="G992" s="8"/>
      <c r="H992" s="8"/>
      <c r="I992" s="15"/>
      <c r="J992" s="15"/>
      <c r="K992" s="10" t="str">
        <f aca="false">IF(J992&lt;&gt;"",J992,IF(I992="","",I992*IFERROR(INDEX(สินค้า!$G$2:$G$101,MATCH(B992,สินค้า!$A$2:$A$101,0)),0)))</f>
        <v/>
      </c>
      <c r="L992" s="16" t="str">
        <f aca="false">IF(OR(F992="",F992=0,G992=""),"",G992/F992)</f>
        <v/>
      </c>
      <c r="M992" s="16" t="str">
        <f aca="false">IF(OR(G992="",G992=0,H992=""),"",H992/G992)</f>
        <v/>
      </c>
    </row>
    <row r="993" customFormat="false" ht="15" hidden="false" customHeight="false" outlineLevel="0" collapsed="false">
      <c r="A993" s="12"/>
      <c r="B993" s="6"/>
      <c r="C993" s="13" t="str">
        <f aca="false">IF(B993="","",IFERROR(INDEX(สินค้า!$B$2:$B$101,MATCH(B993,สินค้า!$A$2:$A$101,0)),"ไม่พบรหัส"))</f>
        <v/>
      </c>
      <c r="D993" s="14" t="str">
        <f aca="false">IF(B993="","",IFERROR(INDEX(สินค้า!$D$2:$D$101,MATCH(B993,สินค้า!$A$2:$A$101,0)),""))</f>
        <v/>
      </c>
      <c r="E993" s="6"/>
      <c r="F993" s="8"/>
      <c r="G993" s="8"/>
      <c r="H993" s="8"/>
      <c r="I993" s="15"/>
      <c r="J993" s="15"/>
      <c r="K993" s="10" t="str">
        <f aca="false">IF(J993&lt;&gt;"",J993,IF(I993="","",I993*IFERROR(INDEX(สินค้า!$G$2:$G$101,MATCH(B993,สินค้า!$A$2:$A$101,0)),0)))</f>
        <v/>
      </c>
      <c r="L993" s="16" t="str">
        <f aca="false">IF(OR(F993="",F993=0,G993=""),"",G993/F993)</f>
        <v/>
      </c>
      <c r="M993" s="16" t="str">
        <f aca="false">IF(OR(G993="",G993=0,H993=""),"",H993/G993)</f>
        <v/>
      </c>
    </row>
    <row r="994" customFormat="false" ht="15" hidden="false" customHeight="false" outlineLevel="0" collapsed="false">
      <c r="A994" s="12"/>
      <c r="B994" s="6"/>
      <c r="C994" s="13" t="str">
        <f aca="false">IF(B994="","",IFERROR(INDEX(สินค้า!$B$2:$B$101,MATCH(B994,สินค้า!$A$2:$A$101,0)),"ไม่พบรหัส"))</f>
        <v/>
      </c>
      <c r="D994" s="14" t="str">
        <f aca="false">IF(B994="","",IFERROR(INDEX(สินค้า!$D$2:$D$101,MATCH(B994,สินค้า!$A$2:$A$101,0)),""))</f>
        <v/>
      </c>
      <c r="E994" s="6"/>
      <c r="F994" s="8"/>
      <c r="G994" s="8"/>
      <c r="H994" s="8"/>
      <c r="I994" s="15"/>
      <c r="J994" s="15"/>
      <c r="K994" s="10" t="str">
        <f aca="false">IF(J994&lt;&gt;"",J994,IF(I994="","",I994*IFERROR(INDEX(สินค้า!$G$2:$G$101,MATCH(B994,สินค้า!$A$2:$A$101,0)),0)))</f>
        <v/>
      </c>
      <c r="L994" s="16" t="str">
        <f aca="false">IF(OR(F994="",F994=0,G994=""),"",G994/F994)</f>
        <v/>
      </c>
      <c r="M994" s="16" t="str">
        <f aca="false">IF(OR(G994="",G994=0,H994=""),"",H994/G994)</f>
        <v/>
      </c>
    </row>
    <row r="995" customFormat="false" ht="15" hidden="false" customHeight="false" outlineLevel="0" collapsed="false">
      <c r="A995" s="12"/>
      <c r="B995" s="6"/>
      <c r="C995" s="13" t="str">
        <f aca="false">IF(B995="","",IFERROR(INDEX(สินค้า!$B$2:$B$101,MATCH(B995,สินค้า!$A$2:$A$101,0)),"ไม่พบรหัส"))</f>
        <v/>
      </c>
      <c r="D995" s="14" t="str">
        <f aca="false">IF(B995="","",IFERROR(INDEX(สินค้า!$D$2:$D$101,MATCH(B995,สินค้า!$A$2:$A$101,0)),""))</f>
        <v/>
      </c>
      <c r="E995" s="6"/>
      <c r="F995" s="8"/>
      <c r="G995" s="8"/>
      <c r="H995" s="8"/>
      <c r="I995" s="15"/>
      <c r="J995" s="15"/>
      <c r="K995" s="10" t="str">
        <f aca="false">IF(J995&lt;&gt;"",J995,IF(I995="","",I995*IFERROR(INDEX(สินค้า!$G$2:$G$101,MATCH(B995,สินค้า!$A$2:$A$101,0)),0)))</f>
        <v/>
      </c>
      <c r="L995" s="16" t="str">
        <f aca="false">IF(OR(F995="",F995=0,G995=""),"",G995/F995)</f>
        <v/>
      </c>
      <c r="M995" s="16" t="str">
        <f aca="false">IF(OR(G995="",G995=0,H995=""),"",H995/G995)</f>
        <v/>
      </c>
    </row>
    <row r="996" customFormat="false" ht="15" hidden="false" customHeight="false" outlineLevel="0" collapsed="false">
      <c r="A996" s="12"/>
      <c r="B996" s="6"/>
      <c r="C996" s="13" t="str">
        <f aca="false">IF(B996="","",IFERROR(INDEX(สินค้า!$B$2:$B$101,MATCH(B996,สินค้า!$A$2:$A$101,0)),"ไม่พบรหัส"))</f>
        <v/>
      </c>
      <c r="D996" s="14" t="str">
        <f aca="false">IF(B996="","",IFERROR(INDEX(สินค้า!$D$2:$D$101,MATCH(B996,สินค้า!$A$2:$A$101,0)),""))</f>
        <v/>
      </c>
      <c r="E996" s="6"/>
      <c r="F996" s="8"/>
      <c r="G996" s="8"/>
      <c r="H996" s="8"/>
      <c r="I996" s="15"/>
      <c r="J996" s="15"/>
      <c r="K996" s="10" t="str">
        <f aca="false">IF(J996&lt;&gt;"",J996,IF(I996="","",I996*IFERROR(INDEX(สินค้า!$G$2:$G$101,MATCH(B996,สินค้า!$A$2:$A$101,0)),0)))</f>
        <v/>
      </c>
      <c r="L996" s="16" t="str">
        <f aca="false">IF(OR(F996="",F996=0,G996=""),"",G996/F996)</f>
        <v/>
      </c>
      <c r="M996" s="16" t="str">
        <f aca="false">IF(OR(G996="",G996=0,H996=""),"",H996/G996)</f>
        <v/>
      </c>
    </row>
    <row r="997" customFormat="false" ht="15" hidden="false" customHeight="false" outlineLevel="0" collapsed="false">
      <c r="A997" s="12"/>
      <c r="B997" s="6"/>
      <c r="C997" s="13" t="str">
        <f aca="false">IF(B997="","",IFERROR(INDEX(สินค้า!$B$2:$B$101,MATCH(B997,สินค้า!$A$2:$A$101,0)),"ไม่พบรหัส"))</f>
        <v/>
      </c>
      <c r="D997" s="14" t="str">
        <f aca="false">IF(B997="","",IFERROR(INDEX(สินค้า!$D$2:$D$101,MATCH(B997,สินค้า!$A$2:$A$101,0)),""))</f>
        <v/>
      </c>
      <c r="E997" s="6"/>
      <c r="F997" s="8"/>
      <c r="G997" s="8"/>
      <c r="H997" s="8"/>
      <c r="I997" s="15"/>
      <c r="J997" s="15"/>
      <c r="K997" s="10" t="str">
        <f aca="false">IF(J997&lt;&gt;"",J997,IF(I997="","",I997*IFERROR(INDEX(สินค้า!$G$2:$G$101,MATCH(B997,สินค้า!$A$2:$A$101,0)),0)))</f>
        <v/>
      </c>
      <c r="L997" s="16" t="str">
        <f aca="false">IF(OR(F997="",F997=0,G997=""),"",G997/F997)</f>
        <v/>
      </c>
      <c r="M997" s="16" t="str">
        <f aca="false">IF(OR(G997="",G997=0,H997=""),"",H997/G997)</f>
        <v/>
      </c>
    </row>
    <row r="998" customFormat="false" ht="15" hidden="false" customHeight="false" outlineLevel="0" collapsed="false">
      <c r="A998" s="12"/>
      <c r="B998" s="6"/>
      <c r="C998" s="13" t="str">
        <f aca="false">IF(B998="","",IFERROR(INDEX(สินค้า!$B$2:$B$101,MATCH(B998,สินค้า!$A$2:$A$101,0)),"ไม่พบรหัส"))</f>
        <v/>
      </c>
      <c r="D998" s="14" t="str">
        <f aca="false">IF(B998="","",IFERROR(INDEX(สินค้า!$D$2:$D$101,MATCH(B998,สินค้า!$A$2:$A$101,0)),""))</f>
        <v/>
      </c>
      <c r="E998" s="6"/>
      <c r="F998" s="8"/>
      <c r="G998" s="8"/>
      <c r="H998" s="8"/>
      <c r="I998" s="15"/>
      <c r="J998" s="15"/>
      <c r="K998" s="10" t="str">
        <f aca="false">IF(J998&lt;&gt;"",J998,IF(I998="","",I998*IFERROR(INDEX(สินค้า!$G$2:$G$101,MATCH(B998,สินค้า!$A$2:$A$101,0)),0)))</f>
        <v/>
      </c>
      <c r="L998" s="16" t="str">
        <f aca="false">IF(OR(F998="",F998=0,G998=""),"",G998/F998)</f>
        <v/>
      </c>
      <c r="M998" s="16" t="str">
        <f aca="false">IF(OR(G998="",G998=0,H998=""),"",H998/G998)</f>
        <v/>
      </c>
    </row>
    <row r="999" customFormat="false" ht="15" hidden="false" customHeight="false" outlineLevel="0" collapsed="false">
      <c r="A999" s="12"/>
      <c r="B999" s="6"/>
      <c r="C999" s="13" t="str">
        <f aca="false">IF(B999="","",IFERROR(INDEX(สินค้า!$B$2:$B$101,MATCH(B999,สินค้า!$A$2:$A$101,0)),"ไม่พบรหัส"))</f>
        <v/>
      </c>
      <c r="D999" s="14" t="str">
        <f aca="false">IF(B999="","",IFERROR(INDEX(สินค้า!$D$2:$D$101,MATCH(B999,สินค้า!$A$2:$A$101,0)),""))</f>
        <v/>
      </c>
      <c r="E999" s="6"/>
      <c r="F999" s="8"/>
      <c r="G999" s="8"/>
      <c r="H999" s="8"/>
      <c r="I999" s="15"/>
      <c r="J999" s="15"/>
      <c r="K999" s="10" t="str">
        <f aca="false">IF(J999&lt;&gt;"",J999,IF(I999="","",I999*IFERROR(INDEX(สินค้า!$G$2:$G$101,MATCH(B999,สินค้า!$A$2:$A$101,0)),0)))</f>
        <v/>
      </c>
      <c r="L999" s="16" t="str">
        <f aca="false">IF(OR(F999="",F999=0,G999=""),"",G999/F999)</f>
        <v/>
      </c>
      <c r="M999" s="16" t="str">
        <f aca="false">IF(OR(G999="",G999=0,H999=""),"",H999/G999)</f>
        <v/>
      </c>
    </row>
    <row r="1000" customFormat="false" ht="15" hidden="false" customHeight="false" outlineLevel="0" collapsed="false">
      <c r="A1000" s="12"/>
      <c r="B1000" s="6"/>
      <c r="C1000" s="13" t="str">
        <f aca="false">IF(B1000="","",IFERROR(INDEX(สินค้า!$B$2:$B$101,MATCH(B1000,สินค้า!$A$2:$A$101,0)),"ไม่พบรหัส"))</f>
        <v/>
      </c>
      <c r="D1000" s="14" t="str">
        <f aca="false">IF(B1000="","",IFERROR(INDEX(สินค้า!$D$2:$D$101,MATCH(B1000,สินค้า!$A$2:$A$101,0)),""))</f>
        <v/>
      </c>
      <c r="E1000" s="6"/>
      <c r="F1000" s="8"/>
      <c r="G1000" s="8"/>
      <c r="H1000" s="8"/>
      <c r="I1000" s="15"/>
      <c r="J1000" s="15"/>
      <c r="K1000" s="10" t="str">
        <f aca="false">IF(J1000&lt;&gt;"",J1000,IF(I1000="","",I1000*IFERROR(INDEX(สินค้า!$G$2:$G$101,MATCH(B1000,สินค้า!$A$2:$A$101,0)),0)))</f>
        <v/>
      </c>
      <c r="L1000" s="16" t="str">
        <f aca="false">IF(OR(F1000="",F1000=0,G1000=""),"",G1000/F1000)</f>
        <v/>
      </c>
      <c r="M1000" s="16" t="str">
        <f aca="false">IF(OR(G1000="",G1000=0,H1000=""),"",H1000/G1000)</f>
        <v/>
      </c>
    </row>
    <row r="1001" customFormat="false" ht="15" hidden="false" customHeight="false" outlineLevel="0" collapsed="false">
      <c r="A1001" s="12"/>
      <c r="B1001" s="6"/>
      <c r="C1001" s="13" t="str">
        <f aca="false">IF(B1001="","",IFERROR(INDEX(สินค้า!$B$2:$B$101,MATCH(B1001,สินค้า!$A$2:$A$101,0)),"ไม่พบรหัส"))</f>
        <v/>
      </c>
      <c r="D1001" s="14" t="str">
        <f aca="false">IF(B1001="","",IFERROR(INDEX(สินค้า!$D$2:$D$101,MATCH(B1001,สินค้า!$A$2:$A$101,0)),""))</f>
        <v/>
      </c>
      <c r="E1001" s="6"/>
      <c r="F1001" s="8"/>
      <c r="G1001" s="8"/>
      <c r="H1001" s="8"/>
      <c r="I1001" s="15"/>
      <c r="J1001" s="15"/>
      <c r="K1001" s="10" t="str">
        <f aca="false">IF(J1001&lt;&gt;"",J1001,IF(I1001="","",I1001*IFERROR(INDEX(สินค้า!$G$2:$G$101,MATCH(B1001,สินค้า!$A$2:$A$101,0)),0)))</f>
        <v/>
      </c>
      <c r="L1001" s="16" t="str">
        <f aca="false">IF(OR(F1001="",F1001=0,G1001=""),"",G1001/F1001)</f>
        <v/>
      </c>
      <c r="M1001" s="16" t="str">
        <f aca="false">IF(OR(G1001="",G1001=0,H1001=""),"",H1001/G1001)</f>
        <v/>
      </c>
    </row>
  </sheetData>
  <conditionalFormatting sqref="C2:C1001">
    <cfRule type="expression" priority="2" aboveAverage="0" equalAverage="0" bottom="0" percent="0" rank="0" text="" dxfId="0">
      <formula>C2="ไม่พบรหัส"</formula>
    </cfRule>
  </conditionalFormatting>
  <dataValidations count="2">
    <dataValidation allowBlank="true" errorStyle="stop" operator="between" showDropDown="false" showErrorMessage="false" showInputMessage="false" sqref="E2:E1001" type="list">
      <formula1>"Shopee Video,Facebook,Instagram,LINE,Link-in-bio,TikTok"</formula1>
      <formula2>0</formula2>
    </dataValidation>
    <dataValidation allowBlank="true" errorStyle="stop" operator="between" showDropDown="false" showErrorMessage="false" showInputMessage="false" sqref="B2:B1001" type="list">
      <formula1>สินค้า!$A$2:$A$101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6" min="5" style="0" width="16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8.65" hidden="false" customHeight="false" outlineLevel="0" collapsed="false">
      <c r="A1" s="1" t="s">
        <v>35</v>
      </c>
    </row>
    <row r="3" customFormat="false" ht="15" hidden="false" customHeight="false" outlineLevel="0" collapsed="false">
      <c r="A3" s="17" t="s">
        <v>36</v>
      </c>
      <c r="B3" s="18" t="n">
        <f aca="false">SUM(บันทึกรายวัน!$K$2:$K$1001)</f>
        <v>21.36</v>
      </c>
    </row>
    <row r="4" customFormat="false" ht="15" hidden="false" customHeight="false" outlineLevel="0" collapsed="false">
      <c r="A4" s="17" t="s">
        <v>37</v>
      </c>
      <c r="B4" s="19" t="n">
        <f aca="false">SUM(บันทึกรายวัน!$H$2:$H$1001)</f>
        <v>3</v>
      </c>
    </row>
    <row r="5" customFormat="false" ht="15" hidden="false" customHeight="false" outlineLevel="0" collapsed="false">
      <c r="A5" s="17" t="s">
        <v>38</v>
      </c>
      <c r="B5" s="20" t="str">
        <f aca="false">IF(MAX(F23:F122)&lt;=0,"ยังไม่มียอด",INDEX(A23:A122,MATCH(MAX(F23:F122),F23:F122,0)))</f>
        <v>ที่หั่นผักอเนกประสงค์ (ตัวอย่าง)</v>
      </c>
    </row>
    <row r="7" customFormat="false" ht="15" hidden="false" customHeight="false" outlineLevel="0" collapsed="false">
      <c r="A7" s="21" t="s">
        <v>39</v>
      </c>
    </row>
    <row r="8" customFormat="false" ht="36" hidden="false" customHeight="true" outlineLevel="0" collapsed="false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5" t="s">
        <v>31</v>
      </c>
      <c r="G8" s="11" t="s">
        <v>32</v>
      </c>
      <c r="H8" s="11" t="s">
        <v>33</v>
      </c>
    </row>
    <row r="9" customFormat="false" ht="15" hidden="false" customHeight="false" outlineLevel="0" collapsed="false">
      <c r="A9" s="22" t="s">
        <v>34</v>
      </c>
      <c r="B9" s="23" t="n">
        <f aca="false">IF($A9="","",SUMIFS(บันทึกรายวัน!$F$2:$F$1001,บันทึกรายวัน!$E$2:$E$1001,$A9))</f>
        <v>1200</v>
      </c>
      <c r="C9" s="23" t="n">
        <f aca="false">IF($A9="","",SUMIFS(บันทึกรายวัน!$G$2:$G$1001,บันทึกรายวัน!$E$2:$E$1001,$A9))</f>
        <v>36</v>
      </c>
      <c r="D9" s="23" t="n">
        <f aca="false">IF($A9="","",SUMIFS(บันทึกรายวัน!$H$2:$H$1001,บันทึกรายวัน!$E$2:$E$1001,$A9))</f>
        <v>3</v>
      </c>
      <c r="E9" s="10" t="n">
        <f aca="false">IF($A9="","",SUMIFS(บันทึกรายวัน!$I$2:$I$1001,บันทึกรายวัน!$E$2:$E$1001,$A9))</f>
        <v>267</v>
      </c>
      <c r="F9" s="10" t="n">
        <f aca="false">IF($A9="","",SUMIFS(บันทึกรายวัน!$K$2:$K$1001,บันทึกรายวัน!$E$2:$E$1001,$A9))</f>
        <v>21.36</v>
      </c>
      <c r="G9" s="16" t="n">
        <f aca="false">IF(OR($A9="",N(B9)=0),"",C9/B9)</f>
        <v>0.03</v>
      </c>
      <c r="H9" s="16" t="n">
        <f aca="false">IF(OR($A9="",N(C9)=0),"",D9/C9)</f>
        <v>0.0833333333333333</v>
      </c>
    </row>
    <row r="10" customFormat="false" ht="15" hidden="false" customHeight="false" outlineLevel="0" collapsed="false">
      <c r="A10" s="22" t="s">
        <v>40</v>
      </c>
      <c r="B10" s="23" t="n">
        <f aca="false">IF($A10="","",SUMIFS(บันทึกรายวัน!$F$2:$F$1001,บันทึกรายวัน!$E$2:$E$1001,$A10))</f>
        <v>0</v>
      </c>
      <c r="C10" s="23" t="n">
        <f aca="false">IF($A10="","",SUMIFS(บันทึกรายวัน!$G$2:$G$1001,บันทึกรายวัน!$E$2:$E$1001,$A10))</f>
        <v>0</v>
      </c>
      <c r="D10" s="23" t="n">
        <f aca="false">IF($A10="","",SUMIFS(บันทึกรายวัน!$H$2:$H$1001,บันทึกรายวัน!$E$2:$E$1001,$A10))</f>
        <v>0</v>
      </c>
      <c r="E10" s="10" t="n">
        <f aca="false">IF($A10="","",SUMIFS(บันทึกรายวัน!$I$2:$I$1001,บันทึกรายวัน!$E$2:$E$1001,$A10))</f>
        <v>0</v>
      </c>
      <c r="F10" s="10" t="n">
        <f aca="false">IF($A10="","",SUMIFS(บันทึกรายวัน!$K$2:$K$1001,บันทึกรายวัน!$E$2:$E$1001,$A10))</f>
        <v>0</v>
      </c>
      <c r="G10" s="16" t="str">
        <f aca="false">IF(OR($A10="",N(B10)=0),"",C10/B10)</f>
        <v/>
      </c>
      <c r="H10" s="16" t="str">
        <f aca="false">IF(OR($A10="",N(C10)=0),"",D10/C10)</f>
        <v/>
      </c>
    </row>
    <row r="11" customFormat="false" ht="15" hidden="false" customHeight="false" outlineLevel="0" collapsed="false">
      <c r="A11" s="22" t="s">
        <v>41</v>
      </c>
      <c r="B11" s="23" t="n">
        <f aca="false">IF($A11="","",SUMIFS(บันทึกรายวัน!$F$2:$F$1001,บันทึกรายวัน!$E$2:$E$1001,$A11))</f>
        <v>0</v>
      </c>
      <c r="C11" s="23" t="n">
        <f aca="false">IF($A11="","",SUMIFS(บันทึกรายวัน!$G$2:$G$1001,บันทึกรายวัน!$E$2:$E$1001,$A11))</f>
        <v>0</v>
      </c>
      <c r="D11" s="23" t="n">
        <f aca="false">IF($A11="","",SUMIFS(บันทึกรายวัน!$H$2:$H$1001,บันทึกรายวัน!$E$2:$E$1001,$A11))</f>
        <v>0</v>
      </c>
      <c r="E11" s="10" t="n">
        <f aca="false">IF($A11="","",SUMIFS(บันทึกรายวัน!$I$2:$I$1001,บันทึกรายวัน!$E$2:$E$1001,$A11))</f>
        <v>0</v>
      </c>
      <c r="F11" s="10" t="n">
        <f aca="false">IF($A11="","",SUMIFS(บันทึกรายวัน!$K$2:$K$1001,บันทึกรายวัน!$E$2:$E$1001,$A11))</f>
        <v>0</v>
      </c>
      <c r="G11" s="16" t="str">
        <f aca="false">IF(OR($A11="",N(B11)=0),"",C11/B11)</f>
        <v/>
      </c>
      <c r="H11" s="16" t="str">
        <f aca="false">IF(OR($A11="",N(C11)=0),"",D11/C11)</f>
        <v/>
      </c>
    </row>
    <row r="12" customFormat="false" ht="15" hidden="false" customHeight="false" outlineLevel="0" collapsed="false">
      <c r="A12" s="22" t="s">
        <v>42</v>
      </c>
      <c r="B12" s="23" t="n">
        <f aca="false">IF($A12="","",SUMIFS(บันทึกรายวัน!$F$2:$F$1001,บันทึกรายวัน!$E$2:$E$1001,$A12))</f>
        <v>0</v>
      </c>
      <c r="C12" s="23" t="n">
        <f aca="false">IF($A12="","",SUMIFS(บันทึกรายวัน!$G$2:$G$1001,บันทึกรายวัน!$E$2:$E$1001,$A12))</f>
        <v>0</v>
      </c>
      <c r="D12" s="23" t="n">
        <f aca="false">IF($A12="","",SUMIFS(บันทึกรายวัน!$H$2:$H$1001,บันทึกรายวัน!$E$2:$E$1001,$A12))</f>
        <v>0</v>
      </c>
      <c r="E12" s="10" t="n">
        <f aca="false">IF($A12="","",SUMIFS(บันทึกรายวัน!$I$2:$I$1001,บันทึกรายวัน!$E$2:$E$1001,$A12))</f>
        <v>0</v>
      </c>
      <c r="F12" s="10" t="n">
        <f aca="false">IF($A12="","",SUMIFS(บันทึกรายวัน!$K$2:$K$1001,บันทึกรายวัน!$E$2:$E$1001,$A12))</f>
        <v>0</v>
      </c>
      <c r="G12" s="16" t="str">
        <f aca="false">IF(OR($A12="",N(B12)=0),"",C12/B12)</f>
        <v/>
      </c>
      <c r="H12" s="16" t="str">
        <f aca="false">IF(OR($A12="",N(C12)=0),"",D12/C12)</f>
        <v/>
      </c>
    </row>
    <row r="13" customFormat="false" ht="15" hidden="false" customHeight="false" outlineLevel="0" collapsed="false">
      <c r="A13" s="22" t="s">
        <v>43</v>
      </c>
      <c r="B13" s="23" t="n">
        <f aca="false">IF($A13="","",SUMIFS(บันทึกรายวัน!$F$2:$F$1001,บันทึกรายวัน!$E$2:$E$1001,$A13))</f>
        <v>0</v>
      </c>
      <c r="C13" s="23" t="n">
        <f aca="false">IF($A13="","",SUMIFS(บันทึกรายวัน!$G$2:$G$1001,บันทึกรายวัน!$E$2:$E$1001,$A13))</f>
        <v>0</v>
      </c>
      <c r="D13" s="23" t="n">
        <f aca="false">IF($A13="","",SUMIFS(บันทึกรายวัน!$H$2:$H$1001,บันทึกรายวัน!$E$2:$E$1001,$A13))</f>
        <v>0</v>
      </c>
      <c r="E13" s="10" t="n">
        <f aca="false">IF($A13="","",SUMIFS(บันทึกรายวัน!$I$2:$I$1001,บันทึกรายวัน!$E$2:$E$1001,$A13))</f>
        <v>0</v>
      </c>
      <c r="F13" s="10" t="n">
        <f aca="false">IF($A13="","",SUMIFS(บันทึกรายวัน!$K$2:$K$1001,บันทึกรายวัน!$E$2:$E$1001,$A13))</f>
        <v>0</v>
      </c>
      <c r="G13" s="16" t="str">
        <f aca="false">IF(OR($A13="",N(B13)=0),"",C13/B13)</f>
        <v/>
      </c>
      <c r="H13" s="16" t="str">
        <f aca="false">IF(OR($A13="",N(C13)=0),"",D13/C13)</f>
        <v/>
      </c>
    </row>
    <row r="14" customFormat="false" ht="15" hidden="false" customHeight="false" outlineLevel="0" collapsed="false">
      <c r="A14" s="22" t="s">
        <v>44</v>
      </c>
      <c r="B14" s="23" t="n">
        <f aca="false">IF($A14="","",SUMIFS(บันทึกรายวัน!$F$2:$F$1001,บันทึกรายวัน!$E$2:$E$1001,$A14))</f>
        <v>0</v>
      </c>
      <c r="C14" s="23" t="n">
        <f aca="false">IF($A14="","",SUMIFS(บันทึกรายวัน!$G$2:$G$1001,บันทึกรายวัน!$E$2:$E$1001,$A14))</f>
        <v>0</v>
      </c>
      <c r="D14" s="23" t="n">
        <f aca="false">IF($A14="","",SUMIFS(บันทึกรายวัน!$H$2:$H$1001,บันทึกรายวัน!$E$2:$E$1001,$A14))</f>
        <v>0</v>
      </c>
      <c r="E14" s="10" t="n">
        <f aca="false">IF($A14="","",SUMIFS(บันทึกรายวัน!$I$2:$I$1001,บันทึกรายวัน!$E$2:$E$1001,$A14))</f>
        <v>0</v>
      </c>
      <c r="F14" s="10" t="n">
        <f aca="false">IF($A14="","",SUMIFS(บันทึกรายวัน!$K$2:$K$1001,บันทึกรายวัน!$E$2:$E$1001,$A14))</f>
        <v>0</v>
      </c>
      <c r="G14" s="16" t="str">
        <f aca="false">IF(OR($A14="",N(B14)=0),"",C14/B14)</f>
        <v/>
      </c>
      <c r="H14" s="16" t="str">
        <f aca="false">IF(OR($A14="",N(C14)=0),"",D14/C14)</f>
        <v/>
      </c>
    </row>
    <row r="16" customFormat="false" ht="15" hidden="false" customHeight="false" outlineLevel="0" collapsed="false">
      <c r="A16" s="21" t="s">
        <v>45</v>
      </c>
    </row>
    <row r="17" customFormat="false" ht="36" hidden="false" customHeight="true" outlineLevel="0" collapsed="false">
      <c r="A17" s="5" t="s">
        <v>13</v>
      </c>
      <c r="B17" s="5" t="s">
        <v>26</v>
      </c>
      <c r="C17" s="5" t="s">
        <v>27</v>
      </c>
      <c r="D17" s="5" t="s">
        <v>28</v>
      </c>
      <c r="E17" s="5" t="s">
        <v>29</v>
      </c>
      <c r="F17" s="5" t="s">
        <v>31</v>
      </c>
      <c r="G17" s="11" t="s">
        <v>32</v>
      </c>
      <c r="H17" s="11" t="s">
        <v>33</v>
      </c>
    </row>
    <row r="18" customFormat="false" ht="15" hidden="false" customHeight="false" outlineLevel="0" collapsed="false">
      <c r="A18" s="22" t="s">
        <v>21</v>
      </c>
      <c r="B18" s="23" t="n">
        <f aca="false">IF($A18="","",SUMIFS(บันทึกรายวัน!$F$2:$F$1001,บันทึกรายวัน!$D$2:$D$1001,$A18))</f>
        <v>1200</v>
      </c>
      <c r="C18" s="23" t="n">
        <f aca="false">IF($A18="","",SUMIFS(บันทึกรายวัน!$G$2:$G$1001,บันทึกรายวัน!$D$2:$D$1001,$A18))</f>
        <v>36</v>
      </c>
      <c r="D18" s="23" t="n">
        <f aca="false">IF($A18="","",SUMIFS(บันทึกรายวัน!$H$2:$H$1001,บันทึกรายวัน!$D$2:$D$1001,$A18))</f>
        <v>3</v>
      </c>
      <c r="E18" s="10" t="n">
        <f aca="false">IF($A18="","",SUMIFS(บันทึกรายวัน!$I$2:$I$1001,บันทึกรายวัน!$D$2:$D$1001,$A18))</f>
        <v>267</v>
      </c>
      <c r="F18" s="10" t="n">
        <f aca="false">IF($A18="","",SUMIFS(บันทึกรายวัน!$K$2:$K$1001,บันทึกรายวัน!$D$2:$D$1001,$A18))</f>
        <v>21.36</v>
      </c>
      <c r="G18" s="16" t="n">
        <f aca="false">IF(OR($A18="",N(B18)=0),"",C18/B18)</f>
        <v>0.03</v>
      </c>
      <c r="H18" s="16" t="n">
        <f aca="false">IF(OR($A18="",N(C18)=0),"",D18/C18)</f>
        <v>0.0833333333333333</v>
      </c>
    </row>
    <row r="19" customFormat="false" ht="15" hidden="false" customHeight="false" outlineLevel="0" collapsed="false">
      <c r="A19" s="22" t="s">
        <v>46</v>
      </c>
      <c r="B19" s="23" t="n">
        <f aca="false">IF($A19="","",SUMIFS(บันทึกรายวัน!$F$2:$F$1001,บันทึกรายวัน!$D$2:$D$1001,$A19))</f>
        <v>0</v>
      </c>
      <c r="C19" s="23" t="n">
        <f aca="false">IF($A19="","",SUMIFS(บันทึกรายวัน!$G$2:$G$1001,บันทึกรายวัน!$D$2:$D$1001,$A19))</f>
        <v>0</v>
      </c>
      <c r="D19" s="23" t="n">
        <f aca="false">IF($A19="","",SUMIFS(บันทึกรายวัน!$H$2:$H$1001,บันทึกรายวัน!$D$2:$D$1001,$A19))</f>
        <v>0</v>
      </c>
      <c r="E19" s="10" t="n">
        <f aca="false">IF($A19="","",SUMIFS(บันทึกรายวัน!$I$2:$I$1001,บันทึกรายวัน!$D$2:$D$1001,$A19))</f>
        <v>0</v>
      </c>
      <c r="F19" s="10" t="n">
        <f aca="false">IF($A19="","",SUMIFS(บันทึกรายวัน!$K$2:$K$1001,บันทึกรายวัน!$D$2:$D$1001,$A19))</f>
        <v>0</v>
      </c>
      <c r="G19" s="16" t="str">
        <f aca="false">IF(OR($A19="",N(B19)=0),"",C19/B19)</f>
        <v/>
      </c>
      <c r="H19" s="16" t="str">
        <f aca="false">IF(OR($A19="",N(C19)=0),"",D19/C19)</f>
        <v/>
      </c>
    </row>
    <row r="21" customFormat="false" ht="15" hidden="false" customHeight="false" outlineLevel="0" collapsed="false">
      <c r="A21" s="21" t="s">
        <v>47</v>
      </c>
    </row>
    <row r="22" customFormat="false" ht="36" hidden="false" customHeight="true" outlineLevel="0" collapsed="false">
      <c r="A22" s="5" t="s">
        <v>48</v>
      </c>
      <c r="B22" s="5" t="s">
        <v>26</v>
      </c>
      <c r="C22" s="5" t="s">
        <v>27</v>
      </c>
      <c r="D22" s="5" t="s">
        <v>28</v>
      </c>
      <c r="E22" s="5" t="s">
        <v>29</v>
      </c>
      <c r="F22" s="5" t="s">
        <v>31</v>
      </c>
      <c r="G22" s="11" t="s">
        <v>32</v>
      </c>
      <c r="H22" s="11" t="s">
        <v>33</v>
      </c>
    </row>
    <row r="23" customFormat="false" ht="15" hidden="false" customHeight="false" outlineLevel="0" collapsed="false">
      <c r="A23" s="22" t="str">
        <f aca="false">IF(สินค้า!B2="","",สินค้า!B2)</f>
        <v>ที่หั่นผักอเนกประสงค์ (ตัวอย่าง)</v>
      </c>
      <c r="B23" s="23" t="n">
        <f aca="false">IF($A23="","",SUMIFS(บันทึกรายวัน!$F$2:$F$1001,บันทึกรายวัน!$B$2:$B$1001,สินค้า!$A2))</f>
        <v>1200</v>
      </c>
      <c r="C23" s="23" t="n">
        <f aca="false">IF($A23="","",SUMIFS(บันทึกรายวัน!$G$2:$G$1001,บันทึกรายวัน!$B$2:$B$1001,สินค้า!$A2))</f>
        <v>36</v>
      </c>
      <c r="D23" s="23" t="n">
        <f aca="false">IF($A23="","",SUMIFS(บันทึกรายวัน!$H$2:$H$1001,บันทึกรายวัน!$B$2:$B$1001,สินค้า!$A2))</f>
        <v>3</v>
      </c>
      <c r="E23" s="10" t="n">
        <f aca="false">IF($A23="","",SUMIFS(บันทึกรายวัน!$I$2:$I$1001,บันทึกรายวัน!$B$2:$B$1001,สินค้า!$A2))</f>
        <v>267</v>
      </c>
      <c r="F23" s="10" t="n">
        <f aca="false">IF($A23="","",SUMIFS(บันทึกรายวัน!$K$2:$K$1001,บันทึกรายวัน!$B$2:$B$1001,สินค้า!$A2))</f>
        <v>21.36</v>
      </c>
      <c r="G23" s="16" t="n">
        <f aca="false">IF(OR($A23="",N(B23)=0),"",C23/B23)</f>
        <v>0.03</v>
      </c>
      <c r="H23" s="16" t="n">
        <f aca="false">IF(OR($A23="",N(C23)=0),"",D23/C23)</f>
        <v>0.0833333333333333</v>
      </c>
    </row>
    <row r="24" customFormat="false" ht="15" hidden="false" customHeight="false" outlineLevel="0" collapsed="false">
      <c r="A24" s="22" t="str">
        <f aca="false">IF(สินค้า!B3="","",สินค้า!B3)</f>
        <v/>
      </c>
      <c r="B24" s="23" t="str">
        <f aca="false">IF($A24="","",SUMIFS(บันทึกรายวัน!$F$2:$F$1001,บันทึกรายวัน!$B$2:$B$1001,สินค้า!$A3))</f>
        <v/>
      </c>
      <c r="C24" s="23" t="str">
        <f aca="false">IF($A24="","",SUMIFS(บันทึกรายวัน!$G$2:$G$1001,บันทึกรายวัน!$B$2:$B$1001,สินค้า!$A3))</f>
        <v/>
      </c>
      <c r="D24" s="23" t="str">
        <f aca="false">IF($A24="","",SUMIFS(บันทึกรายวัน!$H$2:$H$1001,บันทึกรายวัน!$B$2:$B$1001,สินค้า!$A3))</f>
        <v/>
      </c>
      <c r="E24" s="10" t="str">
        <f aca="false">IF($A24="","",SUMIFS(บันทึกรายวัน!$I$2:$I$1001,บันทึกรายวัน!$B$2:$B$1001,สินค้า!$A3))</f>
        <v/>
      </c>
      <c r="F24" s="10" t="str">
        <f aca="false">IF($A24="","",SUMIFS(บันทึกรายวัน!$K$2:$K$1001,บันทึกรายวัน!$B$2:$B$1001,สินค้า!$A3))</f>
        <v/>
      </c>
      <c r="G24" s="16" t="str">
        <f aca="false">IF(OR($A24="",N(B24)=0),"",C24/B24)</f>
        <v/>
      </c>
      <c r="H24" s="16" t="str">
        <f aca="false">IF(OR($A24="",N(C24)=0),"",D24/C24)</f>
        <v/>
      </c>
    </row>
    <row r="25" customFormat="false" ht="15" hidden="false" customHeight="false" outlineLevel="0" collapsed="false">
      <c r="A25" s="22" t="str">
        <f aca="false">IF(สินค้า!B4="","",สินค้า!B4)</f>
        <v/>
      </c>
      <c r="B25" s="23" t="str">
        <f aca="false">IF($A25="","",SUMIFS(บันทึกรายวัน!$F$2:$F$1001,บันทึกรายวัน!$B$2:$B$1001,สินค้า!$A4))</f>
        <v/>
      </c>
      <c r="C25" s="23" t="str">
        <f aca="false">IF($A25="","",SUMIFS(บันทึกรายวัน!$G$2:$G$1001,บันทึกรายวัน!$B$2:$B$1001,สินค้า!$A4))</f>
        <v/>
      </c>
      <c r="D25" s="23" t="str">
        <f aca="false">IF($A25="","",SUMIFS(บันทึกรายวัน!$H$2:$H$1001,บันทึกรายวัน!$B$2:$B$1001,สินค้า!$A4))</f>
        <v/>
      </c>
      <c r="E25" s="10" t="str">
        <f aca="false">IF($A25="","",SUMIFS(บันทึกรายวัน!$I$2:$I$1001,บันทึกรายวัน!$B$2:$B$1001,สินค้า!$A4))</f>
        <v/>
      </c>
      <c r="F25" s="10" t="str">
        <f aca="false">IF($A25="","",SUMIFS(บันทึกรายวัน!$K$2:$K$1001,บันทึกรายวัน!$B$2:$B$1001,สินค้า!$A4))</f>
        <v/>
      </c>
      <c r="G25" s="16" t="str">
        <f aca="false">IF(OR($A25="",N(B25)=0),"",C25/B25)</f>
        <v/>
      </c>
      <c r="H25" s="16" t="str">
        <f aca="false">IF(OR($A25="",N(C25)=0),"",D25/C25)</f>
        <v/>
      </c>
    </row>
    <row r="26" customFormat="false" ht="15" hidden="false" customHeight="false" outlineLevel="0" collapsed="false">
      <c r="A26" s="22" t="str">
        <f aca="false">IF(สินค้า!B5="","",สินค้า!B5)</f>
        <v/>
      </c>
      <c r="B26" s="23" t="str">
        <f aca="false">IF($A26="","",SUMIFS(บันทึกรายวัน!$F$2:$F$1001,บันทึกรายวัน!$B$2:$B$1001,สินค้า!$A5))</f>
        <v/>
      </c>
      <c r="C26" s="23" t="str">
        <f aca="false">IF($A26="","",SUMIFS(บันทึกรายวัน!$G$2:$G$1001,บันทึกรายวัน!$B$2:$B$1001,สินค้า!$A5))</f>
        <v/>
      </c>
      <c r="D26" s="23" t="str">
        <f aca="false">IF($A26="","",SUMIFS(บันทึกรายวัน!$H$2:$H$1001,บันทึกรายวัน!$B$2:$B$1001,สินค้า!$A5))</f>
        <v/>
      </c>
      <c r="E26" s="10" t="str">
        <f aca="false">IF($A26="","",SUMIFS(บันทึกรายวัน!$I$2:$I$1001,บันทึกรายวัน!$B$2:$B$1001,สินค้า!$A5))</f>
        <v/>
      </c>
      <c r="F26" s="10" t="str">
        <f aca="false">IF($A26="","",SUMIFS(บันทึกรายวัน!$K$2:$K$1001,บันทึกรายวัน!$B$2:$B$1001,สินค้า!$A5))</f>
        <v/>
      </c>
      <c r="G26" s="16" t="str">
        <f aca="false">IF(OR($A26="",N(B26)=0),"",C26/B26)</f>
        <v/>
      </c>
      <c r="H26" s="16" t="str">
        <f aca="false">IF(OR($A26="",N(C26)=0),"",D26/C26)</f>
        <v/>
      </c>
    </row>
    <row r="27" customFormat="false" ht="15" hidden="false" customHeight="false" outlineLevel="0" collapsed="false">
      <c r="A27" s="22" t="str">
        <f aca="false">IF(สินค้า!B6="","",สินค้า!B6)</f>
        <v/>
      </c>
      <c r="B27" s="23" t="str">
        <f aca="false">IF($A27="","",SUMIFS(บันทึกรายวัน!$F$2:$F$1001,บันทึกรายวัน!$B$2:$B$1001,สินค้า!$A6))</f>
        <v/>
      </c>
      <c r="C27" s="23" t="str">
        <f aca="false">IF($A27="","",SUMIFS(บันทึกรายวัน!$G$2:$G$1001,บันทึกรายวัน!$B$2:$B$1001,สินค้า!$A6))</f>
        <v/>
      </c>
      <c r="D27" s="23" t="str">
        <f aca="false">IF($A27="","",SUMIFS(บันทึกรายวัน!$H$2:$H$1001,บันทึกรายวัน!$B$2:$B$1001,สินค้า!$A6))</f>
        <v/>
      </c>
      <c r="E27" s="10" t="str">
        <f aca="false">IF($A27="","",SUMIFS(บันทึกรายวัน!$I$2:$I$1001,บันทึกรายวัน!$B$2:$B$1001,สินค้า!$A6))</f>
        <v/>
      </c>
      <c r="F27" s="10" t="str">
        <f aca="false">IF($A27="","",SUMIFS(บันทึกรายวัน!$K$2:$K$1001,บันทึกรายวัน!$B$2:$B$1001,สินค้า!$A6))</f>
        <v/>
      </c>
      <c r="G27" s="16" t="str">
        <f aca="false">IF(OR($A27="",N(B27)=0),"",C27/B27)</f>
        <v/>
      </c>
      <c r="H27" s="16" t="str">
        <f aca="false">IF(OR($A27="",N(C27)=0),"",D27/C27)</f>
        <v/>
      </c>
    </row>
    <row r="28" customFormat="false" ht="15" hidden="false" customHeight="false" outlineLevel="0" collapsed="false">
      <c r="A28" s="22" t="str">
        <f aca="false">IF(สินค้า!B7="","",สินค้า!B7)</f>
        <v/>
      </c>
      <c r="B28" s="23" t="str">
        <f aca="false">IF($A28="","",SUMIFS(บันทึกรายวัน!$F$2:$F$1001,บันทึกรายวัน!$B$2:$B$1001,สินค้า!$A7))</f>
        <v/>
      </c>
      <c r="C28" s="23" t="str">
        <f aca="false">IF($A28="","",SUMIFS(บันทึกรายวัน!$G$2:$G$1001,บันทึกรายวัน!$B$2:$B$1001,สินค้า!$A7))</f>
        <v/>
      </c>
      <c r="D28" s="23" t="str">
        <f aca="false">IF($A28="","",SUMIFS(บันทึกรายวัน!$H$2:$H$1001,บันทึกรายวัน!$B$2:$B$1001,สินค้า!$A7))</f>
        <v/>
      </c>
      <c r="E28" s="10" t="str">
        <f aca="false">IF($A28="","",SUMIFS(บันทึกรายวัน!$I$2:$I$1001,บันทึกรายวัน!$B$2:$B$1001,สินค้า!$A7))</f>
        <v/>
      </c>
      <c r="F28" s="10" t="str">
        <f aca="false">IF($A28="","",SUMIFS(บันทึกรายวัน!$K$2:$K$1001,บันทึกรายวัน!$B$2:$B$1001,สินค้า!$A7))</f>
        <v/>
      </c>
      <c r="G28" s="16" t="str">
        <f aca="false">IF(OR($A28="",N(B28)=0),"",C28/B28)</f>
        <v/>
      </c>
      <c r="H28" s="16" t="str">
        <f aca="false">IF(OR($A28="",N(C28)=0),"",D28/C28)</f>
        <v/>
      </c>
    </row>
    <row r="29" customFormat="false" ht="15" hidden="false" customHeight="false" outlineLevel="0" collapsed="false">
      <c r="A29" s="22" t="str">
        <f aca="false">IF(สินค้า!B8="","",สินค้า!B8)</f>
        <v/>
      </c>
      <c r="B29" s="23" t="str">
        <f aca="false">IF($A29="","",SUMIFS(บันทึกรายวัน!$F$2:$F$1001,บันทึกรายวัน!$B$2:$B$1001,สินค้า!$A8))</f>
        <v/>
      </c>
      <c r="C29" s="23" t="str">
        <f aca="false">IF($A29="","",SUMIFS(บันทึกรายวัน!$G$2:$G$1001,บันทึกรายวัน!$B$2:$B$1001,สินค้า!$A8))</f>
        <v/>
      </c>
      <c r="D29" s="23" t="str">
        <f aca="false">IF($A29="","",SUMIFS(บันทึกรายวัน!$H$2:$H$1001,บันทึกรายวัน!$B$2:$B$1001,สินค้า!$A8))</f>
        <v/>
      </c>
      <c r="E29" s="10" t="str">
        <f aca="false">IF($A29="","",SUMIFS(บันทึกรายวัน!$I$2:$I$1001,บันทึกรายวัน!$B$2:$B$1001,สินค้า!$A8))</f>
        <v/>
      </c>
      <c r="F29" s="10" t="str">
        <f aca="false">IF($A29="","",SUMIFS(บันทึกรายวัน!$K$2:$K$1001,บันทึกรายวัน!$B$2:$B$1001,สินค้า!$A8))</f>
        <v/>
      </c>
      <c r="G29" s="16" t="str">
        <f aca="false">IF(OR($A29="",N(B29)=0),"",C29/B29)</f>
        <v/>
      </c>
      <c r="H29" s="16" t="str">
        <f aca="false">IF(OR($A29="",N(C29)=0),"",D29/C29)</f>
        <v/>
      </c>
    </row>
    <row r="30" customFormat="false" ht="15" hidden="false" customHeight="false" outlineLevel="0" collapsed="false">
      <c r="A30" s="22" t="str">
        <f aca="false">IF(สินค้า!B9="","",สินค้า!B9)</f>
        <v/>
      </c>
      <c r="B30" s="23" t="str">
        <f aca="false">IF($A30="","",SUMIFS(บันทึกรายวัน!$F$2:$F$1001,บันทึกรายวัน!$B$2:$B$1001,สินค้า!$A9))</f>
        <v/>
      </c>
      <c r="C30" s="23" t="str">
        <f aca="false">IF($A30="","",SUMIFS(บันทึกรายวัน!$G$2:$G$1001,บันทึกรายวัน!$B$2:$B$1001,สินค้า!$A9))</f>
        <v/>
      </c>
      <c r="D30" s="23" t="str">
        <f aca="false">IF($A30="","",SUMIFS(บันทึกรายวัน!$H$2:$H$1001,บันทึกรายวัน!$B$2:$B$1001,สินค้า!$A9))</f>
        <v/>
      </c>
      <c r="E30" s="10" t="str">
        <f aca="false">IF($A30="","",SUMIFS(บันทึกรายวัน!$I$2:$I$1001,บันทึกรายวัน!$B$2:$B$1001,สินค้า!$A9))</f>
        <v/>
      </c>
      <c r="F30" s="10" t="str">
        <f aca="false">IF($A30="","",SUMIFS(บันทึกรายวัน!$K$2:$K$1001,บันทึกรายวัน!$B$2:$B$1001,สินค้า!$A9))</f>
        <v/>
      </c>
      <c r="G30" s="16" t="str">
        <f aca="false">IF(OR($A30="",N(B30)=0),"",C30/B30)</f>
        <v/>
      </c>
      <c r="H30" s="16" t="str">
        <f aca="false">IF(OR($A30="",N(C30)=0),"",D30/C30)</f>
        <v/>
      </c>
    </row>
    <row r="31" customFormat="false" ht="15" hidden="false" customHeight="false" outlineLevel="0" collapsed="false">
      <c r="A31" s="22" t="str">
        <f aca="false">IF(สินค้า!B10="","",สินค้า!B10)</f>
        <v/>
      </c>
      <c r="B31" s="23" t="str">
        <f aca="false">IF($A31="","",SUMIFS(บันทึกรายวัน!$F$2:$F$1001,บันทึกรายวัน!$B$2:$B$1001,สินค้า!$A10))</f>
        <v/>
      </c>
      <c r="C31" s="23" t="str">
        <f aca="false">IF($A31="","",SUMIFS(บันทึกรายวัน!$G$2:$G$1001,บันทึกรายวัน!$B$2:$B$1001,สินค้า!$A10))</f>
        <v/>
      </c>
      <c r="D31" s="23" t="str">
        <f aca="false">IF($A31="","",SUMIFS(บันทึกรายวัน!$H$2:$H$1001,บันทึกรายวัน!$B$2:$B$1001,สินค้า!$A10))</f>
        <v/>
      </c>
      <c r="E31" s="10" t="str">
        <f aca="false">IF($A31="","",SUMIFS(บันทึกรายวัน!$I$2:$I$1001,บันทึกรายวัน!$B$2:$B$1001,สินค้า!$A10))</f>
        <v/>
      </c>
      <c r="F31" s="10" t="str">
        <f aca="false">IF($A31="","",SUMIFS(บันทึกรายวัน!$K$2:$K$1001,บันทึกรายวัน!$B$2:$B$1001,สินค้า!$A10))</f>
        <v/>
      </c>
      <c r="G31" s="16" t="str">
        <f aca="false">IF(OR($A31="",N(B31)=0),"",C31/B31)</f>
        <v/>
      </c>
      <c r="H31" s="16" t="str">
        <f aca="false">IF(OR($A31="",N(C31)=0),"",D31/C31)</f>
        <v/>
      </c>
    </row>
    <row r="32" customFormat="false" ht="15" hidden="false" customHeight="false" outlineLevel="0" collapsed="false">
      <c r="A32" s="22" t="str">
        <f aca="false">IF(สินค้า!B11="","",สินค้า!B11)</f>
        <v/>
      </c>
      <c r="B32" s="23" t="str">
        <f aca="false">IF($A32="","",SUMIFS(บันทึกรายวัน!$F$2:$F$1001,บันทึกรายวัน!$B$2:$B$1001,สินค้า!$A11))</f>
        <v/>
      </c>
      <c r="C32" s="23" t="str">
        <f aca="false">IF($A32="","",SUMIFS(บันทึกรายวัน!$G$2:$G$1001,บันทึกรายวัน!$B$2:$B$1001,สินค้า!$A11))</f>
        <v/>
      </c>
      <c r="D32" s="23" t="str">
        <f aca="false">IF($A32="","",SUMIFS(บันทึกรายวัน!$H$2:$H$1001,บันทึกรายวัน!$B$2:$B$1001,สินค้า!$A11))</f>
        <v/>
      </c>
      <c r="E32" s="10" t="str">
        <f aca="false">IF($A32="","",SUMIFS(บันทึกรายวัน!$I$2:$I$1001,บันทึกรายวัน!$B$2:$B$1001,สินค้า!$A11))</f>
        <v/>
      </c>
      <c r="F32" s="10" t="str">
        <f aca="false">IF($A32="","",SUMIFS(บันทึกรายวัน!$K$2:$K$1001,บันทึกรายวัน!$B$2:$B$1001,สินค้า!$A11))</f>
        <v/>
      </c>
      <c r="G32" s="16" t="str">
        <f aca="false">IF(OR($A32="",N(B32)=0),"",C32/B32)</f>
        <v/>
      </c>
      <c r="H32" s="16" t="str">
        <f aca="false">IF(OR($A32="",N(C32)=0),"",D32/C32)</f>
        <v/>
      </c>
    </row>
    <row r="33" customFormat="false" ht="15" hidden="false" customHeight="false" outlineLevel="0" collapsed="false">
      <c r="A33" s="22" t="str">
        <f aca="false">IF(สินค้า!B12="","",สินค้า!B12)</f>
        <v/>
      </c>
      <c r="B33" s="23" t="str">
        <f aca="false">IF($A33="","",SUMIFS(บันทึกรายวัน!$F$2:$F$1001,บันทึกรายวัน!$B$2:$B$1001,สินค้า!$A12))</f>
        <v/>
      </c>
      <c r="C33" s="23" t="str">
        <f aca="false">IF($A33="","",SUMIFS(บันทึกรายวัน!$G$2:$G$1001,บันทึกรายวัน!$B$2:$B$1001,สินค้า!$A12))</f>
        <v/>
      </c>
      <c r="D33" s="23" t="str">
        <f aca="false">IF($A33="","",SUMIFS(บันทึกรายวัน!$H$2:$H$1001,บันทึกรายวัน!$B$2:$B$1001,สินค้า!$A12))</f>
        <v/>
      </c>
      <c r="E33" s="10" t="str">
        <f aca="false">IF($A33="","",SUMIFS(บันทึกรายวัน!$I$2:$I$1001,บันทึกรายวัน!$B$2:$B$1001,สินค้า!$A12))</f>
        <v/>
      </c>
      <c r="F33" s="10" t="str">
        <f aca="false">IF($A33="","",SUMIFS(บันทึกรายวัน!$K$2:$K$1001,บันทึกรายวัน!$B$2:$B$1001,สินค้า!$A12))</f>
        <v/>
      </c>
      <c r="G33" s="16" t="str">
        <f aca="false">IF(OR($A33="",N(B33)=0),"",C33/B33)</f>
        <v/>
      </c>
      <c r="H33" s="16" t="str">
        <f aca="false">IF(OR($A33="",N(C33)=0),"",D33/C33)</f>
        <v/>
      </c>
    </row>
    <row r="34" customFormat="false" ht="15" hidden="false" customHeight="false" outlineLevel="0" collapsed="false">
      <c r="A34" s="22" t="str">
        <f aca="false">IF(สินค้า!B13="","",สินค้า!B13)</f>
        <v/>
      </c>
      <c r="B34" s="23" t="str">
        <f aca="false">IF($A34="","",SUMIFS(บันทึกรายวัน!$F$2:$F$1001,บันทึกรายวัน!$B$2:$B$1001,สินค้า!$A13))</f>
        <v/>
      </c>
      <c r="C34" s="23" t="str">
        <f aca="false">IF($A34="","",SUMIFS(บันทึกรายวัน!$G$2:$G$1001,บันทึกรายวัน!$B$2:$B$1001,สินค้า!$A13))</f>
        <v/>
      </c>
      <c r="D34" s="23" t="str">
        <f aca="false">IF($A34="","",SUMIFS(บันทึกรายวัน!$H$2:$H$1001,บันทึกรายวัน!$B$2:$B$1001,สินค้า!$A13))</f>
        <v/>
      </c>
      <c r="E34" s="10" t="str">
        <f aca="false">IF($A34="","",SUMIFS(บันทึกรายวัน!$I$2:$I$1001,บันทึกรายวัน!$B$2:$B$1001,สินค้า!$A13))</f>
        <v/>
      </c>
      <c r="F34" s="10" t="str">
        <f aca="false">IF($A34="","",SUMIFS(บันทึกรายวัน!$K$2:$K$1001,บันทึกรายวัน!$B$2:$B$1001,สินค้า!$A13))</f>
        <v/>
      </c>
      <c r="G34" s="16" t="str">
        <f aca="false">IF(OR($A34="",N(B34)=0),"",C34/B34)</f>
        <v/>
      </c>
      <c r="H34" s="16" t="str">
        <f aca="false">IF(OR($A34="",N(C34)=0),"",D34/C34)</f>
        <v/>
      </c>
    </row>
    <row r="35" customFormat="false" ht="15" hidden="false" customHeight="false" outlineLevel="0" collapsed="false">
      <c r="A35" s="22" t="str">
        <f aca="false">IF(สินค้า!B14="","",สินค้า!B14)</f>
        <v/>
      </c>
      <c r="B35" s="23" t="str">
        <f aca="false">IF($A35="","",SUMIFS(บันทึกรายวัน!$F$2:$F$1001,บันทึกรายวัน!$B$2:$B$1001,สินค้า!$A14))</f>
        <v/>
      </c>
      <c r="C35" s="23" t="str">
        <f aca="false">IF($A35="","",SUMIFS(บันทึกรายวัน!$G$2:$G$1001,บันทึกรายวัน!$B$2:$B$1001,สินค้า!$A14))</f>
        <v/>
      </c>
      <c r="D35" s="23" t="str">
        <f aca="false">IF($A35="","",SUMIFS(บันทึกรายวัน!$H$2:$H$1001,บันทึกรายวัน!$B$2:$B$1001,สินค้า!$A14))</f>
        <v/>
      </c>
      <c r="E35" s="10" t="str">
        <f aca="false">IF($A35="","",SUMIFS(บันทึกรายวัน!$I$2:$I$1001,บันทึกรายวัน!$B$2:$B$1001,สินค้า!$A14))</f>
        <v/>
      </c>
      <c r="F35" s="10" t="str">
        <f aca="false">IF($A35="","",SUMIFS(บันทึกรายวัน!$K$2:$K$1001,บันทึกรายวัน!$B$2:$B$1001,สินค้า!$A14))</f>
        <v/>
      </c>
      <c r="G35" s="16" t="str">
        <f aca="false">IF(OR($A35="",N(B35)=0),"",C35/B35)</f>
        <v/>
      </c>
      <c r="H35" s="16" t="str">
        <f aca="false">IF(OR($A35="",N(C35)=0),"",D35/C35)</f>
        <v/>
      </c>
    </row>
    <row r="36" customFormat="false" ht="15" hidden="false" customHeight="false" outlineLevel="0" collapsed="false">
      <c r="A36" s="22" t="str">
        <f aca="false">IF(สินค้า!B15="","",สินค้า!B15)</f>
        <v/>
      </c>
      <c r="B36" s="23" t="str">
        <f aca="false">IF($A36="","",SUMIFS(บันทึกรายวัน!$F$2:$F$1001,บันทึกรายวัน!$B$2:$B$1001,สินค้า!$A15))</f>
        <v/>
      </c>
      <c r="C36" s="23" t="str">
        <f aca="false">IF($A36="","",SUMIFS(บันทึกรายวัน!$G$2:$G$1001,บันทึกรายวัน!$B$2:$B$1001,สินค้า!$A15))</f>
        <v/>
      </c>
      <c r="D36" s="23" t="str">
        <f aca="false">IF($A36="","",SUMIFS(บันทึกรายวัน!$H$2:$H$1001,บันทึกรายวัน!$B$2:$B$1001,สินค้า!$A15))</f>
        <v/>
      </c>
      <c r="E36" s="10" t="str">
        <f aca="false">IF($A36="","",SUMIFS(บันทึกรายวัน!$I$2:$I$1001,บันทึกรายวัน!$B$2:$B$1001,สินค้า!$A15))</f>
        <v/>
      </c>
      <c r="F36" s="10" t="str">
        <f aca="false">IF($A36="","",SUMIFS(บันทึกรายวัน!$K$2:$K$1001,บันทึกรายวัน!$B$2:$B$1001,สินค้า!$A15))</f>
        <v/>
      </c>
      <c r="G36" s="16" t="str">
        <f aca="false">IF(OR($A36="",N(B36)=0),"",C36/B36)</f>
        <v/>
      </c>
      <c r="H36" s="16" t="str">
        <f aca="false">IF(OR($A36="",N(C36)=0),"",D36/C36)</f>
        <v/>
      </c>
    </row>
    <row r="37" customFormat="false" ht="15" hidden="false" customHeight="false" outlineLevel="0" collapsed="false">
      <c r="A37" s="22" t="str">
        <f aca="false">IF(สินค้า!B16="","",สินค้า!B16)</f>
        <v/>
      </c>
      <c r="B37" s="23" t="str">
        <f aca="false">IF($A37="","",SUMIFS(บันทึกรายวัน!$F$2:$F$1001,บันทึกรายวัน!$B$2:$B$1001,สินค้า!$A16))</f>
        <v/>
      </c>
      <c r="C37" s="23" t="str">
        <f aca="false">IF($A37="","",SUMIFS(บันทึกรายวัน!$G$2:$G$1001,บันทึกรายวัน!$B$2:$B$1001,สินค้า!$A16))</f>
        <v/>
      </c>
      <c r="D37" s="23" t="str">
        <f aca="false">IF($A37="","",SUMIFS(บันทึกรายวัน!$H$2:$H$1001,บันทึกรายวัน!$B$2:$B$1001,สินค้า!$A16))</f>
        <v/>
      </c>
      <c r="E37" s="10" t="str">
        <f aca="false">IF($A37="","",SUMIFS(บันทึกรายวัน!$I$2:$I$1001,บันทึกรายวัน!$B$2:$B$1001,สินค้า!$A16))</f>
        <v/>
      </c>
      <c r="F37" s="10" t="str">
        <f aca="false">IF($A37="","",SUMIFS(บันทึกรายวัน!$K$2:$K$1001,บันทึกรายวัน!$B$2:$B$1001,สินค้า!$A16))</f>
        <v/>
      </c>
      <c r="G37" s="16" t="str">
        <f aca="false">IF(OR($A37="",N(B37)=0),"",C37/B37)</f>
        <v/>
      </c>
      <c r="H37" s="16" t="str">
        <f aca="false">IF(OR($A37="",N(C37)=0),"",D37/C37)</f>
        <v/>
      </c>
    </row>
    <row r="38" customFormat="false" ht="15" hidden="false" customHeight="false" outlineLevel="0" collapsed="false">
      <c r="A38" s="22" t="str">
        <f aca="false">IF(สินค้า!B17="","",สินค้า!B17)</f>
        <v/>
      </c>
      <c r="B38" s="23" t="str">
        <f aca="false">IF($A38="","",SUMIFS(บันทึกรายวัน!$F$2:$F$1001,บันทึกรายวัน!$B$2:$B$1001,สินค้า!$A17))</f>
        <v/>
      </c>
      <c r="C38" s="23" t="str">
        <f aca="false">IF($A38="","",SUMIFS(บันทึกรายวัน!$G$2:$G$1001,บันทึกรายวัน!$B$2:$B$1001,สินค้า!$A17))</f>
        <v/>
      </c>
      <c r="D38" s="23" t="str">
        <f aca="false">IF($A38="","",SUMIFS(บันทึกรายวัน!$H$2:$H$1001,บันทึกรายวัน!$B$2:$B$1001,สินค้า!$A17))</f>
        <v/>
      </c>
      <c r="E38" s="10" t="str">
        <f aca="false">IF($A38="","",SUMIFS(บันทึกรายวัน!$I$2:$I$1001,บันทึกรายวัน!$B$2:$B$1001,สินค้า!$A17))</f>
        <v/>
      </c>
      <c r="F38" s="10" t="str">
        <f aca="false">IF($A38="","",SUMIFS(บันทึกรายวัน!$K$2:$K$1001,บันทึกรายวัน!$B$2:$B$1001,สินค้า!$A17))</f>
        <v/>
      </c>
      <c r="G38" s="16" t="str">
        <f aca="false">IF(OR($A38="",N(B38)=0),"",C38/B38)</f>
        <v/>
      </c>
      <c r="H38" s="16" t="str">
        <f aca="false">IF(OR($A38="",N(C38)=0),"",D38/C38)</f>
        <v/>
      </c>
    </row>
    <row r="39" customFormat="false" ht="15" hidden="false" customHeight="false" outlineLevel="0" collapsed="false">
      <c r="A39" s="22" t="str">
        <f aca="false">IF(สินค้า!B18="","",สินค้า!B18)</f>
        <v/>
      </c>
      <c r="B39" s="23" t="str">
        <f aca="false">IF($A39="","",SUMIFS(บันทึกรายวัน!$F$2:$F$1001,บันทึกรายวัน!$B$2:$B$1001,สินค้า!$A18))</f>
        <v/>
      </c>
      <c r="C39" s="23" t="str">
        <f aca="false">IF($A39="","",SUMIFS(บันทึกรายวัน!$G$2:$G$1001,บันทึกรายวัน!$B$2:$B$1001,สินค้า!$A18))</f>
        <v/>
      </c>
      <c r="D39" s="23" t="str">
        <f aca="false">IF($A39="","",SUMIFS(บันทึกรายวัน!$H$2:$H$1001,บันทึกรายวัน!$B$2:$B$1001,สินค้า!$A18))</f>
        <v/>
      </c>
      <c r="E39" s="10" t="str">
        <f aca="false">IF($A39="","",SUMIFS(บันทึกรายวัน!$I$2:$I$1001,บันทึกรายวัน!$B$2:$B$1001,สินค้า!$A18))</f>
        <v/>
      </c>
      <c r="F39" s="10" t="str">
        <f aca="false">IF($A39="","",SUMIFS(บันทึกรายวัน!$K$2:$K$1001,บันทึกรายวัน!$B$2:$B$1001,สินค้า!$A18))</f>
        <v/>
      </c>
      <c r="G39" s="16" t="str">
        <f aca="false">IF(OR($A39="",N(B39)=0),"",C39/B39)</f>
        <v/>
      </c>
      <c r="H39" s="16" t="str">
        <f aca="false">IF(OR($A39="",N(C39)=0),"",D39/C39)</f>
        <v/>
      </c>
    </row>
    <row r="40" customFormat="false" ht="15" hidden="false" customHeight="false" outlineLevel="0" collapsed="false">
      <c r="A40" s="22" t="str">
        <f aca="false">IF(สินค้า!B19="","",สินค้า!B19)</f>
        <v/>
      </c>
      <c r="B40" s="23" t="str">
        <f aca="false">IF($A40="","",SUMIFS(บันทึกรายวัน!$F$2:$F$1001,บันทึกรายวัน!$B$2:$B$1001,สินค้า!$A19))</f>
        <v/>
      </c>
      <c r="C40" s="23" t="str">
        <f aca="false">IF($A40="","",SUMIFS(บันทึกรายวัน!$G$2:$G$1001,บันทึกรายวัน!$B$2:$B$1001,สินค้า!$A19))</f>
        <v/>
      </c>
      <c r="D40" s="23" t="str">
        <f aca="false">IF($A40="","",SUMIFS(บันทึกรายวัน!$H$2:$H$1001,บันทึกรายวัน!$B$2:$B$1001,สินค้า!$A19))</f>
        <v/>
      </c>
      <c r="E40" s="10" t="str">
        <f aca="false">IF($A40="","",SUMIFS(บันทึกรายวัน!$I$2:$I$1001,บันทึกรายวัน!$B$2:$B$1001,สินค้า!$A19))</f>
        <v/>
      </c>
      <c r="F40" s="10" t="str">
        <f aca="false">IF($A40="","",SUMIFS(บันทึกรายวัน!$K$2:$K$1001,บันทึกรายวัน!$B$2:$B$1001,สินค้า!$A19))</f>
        <v/>
      </c>
      <c r="G40" s="16" t="str">
        <f aca="false">IF(OR($A40="",N(B40)=0),"",C40/B40)</f>
        <v/>
      </c>
      <c r="H40" s="16" t="str">
        <f aca="false">IF(OR($A40="",N(C40)=0),"",D40/C40)</f>
        <v/>
      </c>
    </row>
    <row r="41" customFormat="false" ht="15" hidden="false" customHeight="false" outlineLevel="0" collapsed="false">
      <c r="A41" s="22" t="str">
        <f aca="false">IF(สินค้า!B20="","",สินค้า!B20)</f>
        <v/>
      </c>
      <c r="B41" s="23" t="str">
        <f aca="false">IF($A41="","",SUMIFS(บันทึกรายวัน!$F$2:$F$1001,บันทึกรายวัน!$B$2:$B$1001,สินค้า!$A20))</f>
        <v/>
      </c>
      <c r="C41" s="23" t="str">
        <f aca="false">IF($A41="","",SUMIFS(บันทึกรายวัน!$G$2:$G$1001,บันทึกรายวัน!$B$2:$B$1001,สินค้า!$A20))</f>
        <v/>
      </c>
      <c r="D41" s="23" t="str">
        <f aca="false">IF($A41="","",SUMIFS(บันทึกรายวัน!$H$2:$H$1001,บันทึกรายวัน!$B$2:$B$1001,สินค้า!$A20))</f>
        <v/>
      </c>
      <c r="E41" s="10" t="str">
        <f aca="false">IF($A41="","",SUMIFS(บันทึกรายวัน!$I$2:$I$1001,บันทึกรายวัน!$B$2:$B$1001,สินค้า!$A20))</f>
        <v/>
      </c>
      <c r="F41" s="10" t="str">
        <f aca="false">IF($A41="","",SUMIFS(บันทึกรายวัน!$K$2:$K$1001,บันทึกรายวัน!$B$2:$B$1001,สินค้า!$A20))</f>
        <v/>
      </c>
      <c r="G41" s="16" t="str">
        <f aca="false">IF(OR($A41="",N(B41)=0),"",C41/B41)</f>
        <v/>
      </c>
      <c r="H41" s="16" t="str">
        <f aca="false">IF(OR($A41="",N(C41)=0),"",D41/C41)</f>
        <v/>
      </c>
    </row>
    <row r="42" customFormat="false" ht="15" hidden="false" customHeight="false" outlineLevel="0" collapsed="false">
      <c r="A42" s="22" t="str">
        <f aca="false">IF(สินค้า!B21="","",สินค้า!B21)</f>
        <v/>
      </c>
      <c r="B42" s="23" t="str">
        <f aca="false">IF($A42="","",SUMIFS(บันทึกรายวัน!$F$2:$F$1001,บันทึกรายวัน!$B$2:$B$1001,สินค้า!$A21))</f>
        <v/>
      </c>
      <c r="C42" s="23" t="str">
        <f aca="false">IF($A42="","",SUMIFS(บันทึกรายวัน!$G$2:$G$1001,บันทึกรายวัน!$B$2:$B$1001,สินค้า!$A21))</f>
        <v/>
      </c>
      <c r="D42" s="23" t="str">
        <f aca="false">IF($A42="","",SUMIFS(บันทึกรายวัน!$H$2:$H$1001,บันทึกรายวัน!$B$2:$B$1001,สินค้า!$A21))</f>
        <v/>
      </c>
      <c r="E42" s="10" t="str">
        <f aca="false">IF($A42="","",SUMIFS(บันทึกรายวัน!$I$2:$I$1001,บันทึกรายวัน!$B$2:$B$1001,สินค้า!$A21))</f>
        <v/>
      </c>
      <c r="F42" s="10" t="str">
        <f aca="false">IF($A42="","",SUMIFS(บันทึกรายวัน!$K$2:$K$1001,บันทึกรายวัน!$B$2:$B$1001,สินค้า!$A21))</f>
        <v/>
      </c>
      <c r="G42" s="16" t="str">
        <f aca="false">IF(OR($A42="",N(B42)=0),"",C42/B42)</f>
        <v/>
      </c>
      <c r="H42" s="16" t="str">
        <f aca="false">IF(OR($A42="",N(C42)=0),"",D42/C42)</f>
        <v/>
      </c>
    </row>
    <row r="43" customFormat="false" ht="15" hidden="false" customHeight="false" outlineLevel="0" collapsed="false">
      <c r="A43" s="22" t="str">
        <f aca="false">IF(สินค้า!B22="","",สินค้า!B22)</f>
        <v/>
      </c>
      <c r="B43" s="23" t="str">
        <f aca="false">IF($A43="","",SUMIFS(บันทึกรายวัน!$F$2:$F$1001,บันทึกรายวัน!$B$2:$B$1001,สินค้า!$A22))</f>
        <v/>
      </c>
      <c r="C43" s="23" t="str">
        <f aca="false">IF($A43="","",SUMIFS(บันทึกรายวัน!$G$2:$G$1001,บันทึกรายวัน!$B$2:$B$1001,สินค้า!$A22))</f>
        <v/>
      </c>
      <c r="D43" s="23" t="str">
        <f aca="false">IF($A43="","",SUMIFS(บันทึกรายวัน!$H$2:$H$1001,บันทึกรายวัน!$B$2:$B$1001,สินค้า!$A22))</f>
        <v/>
      </c>
      <c r="E43" s="10" t="str">
        <f aca="false">IF($A43="","",SUMIFS(บันทึกรายวัน!$I$2:$I$1001,บันทึกรายวัน!$B$2:$B$1001,สินค้า!$A22))</f>
        <v/>
      </c>
      <c r="F43" s="10" t="str">
        <f aca="false">IF($A43="","",SUMIFS(บันทึกรายวัน!$K$2:$K$1001,บันทึกรายวัน!$B$2:$B$1001,สินค้า!$A22))</f>
        <v/>
      </c>
      <c r="G43" s="16" t="str">
        <f aca="false">IF(OR($A43="",N(B43)=0),"",C43/B43)</f>
        <v/>
      </c>
      <c r="H43" s="16" t="str">
        <f aca="false">IF(OR($A43="",N(C43)=0),"",D43/C43)</f>
        <v/>
      </c>
    </row>
    <row r="44" customFormat="false" ht="15" hidden="false" customHeight="false" outlineLevel="0" collapsed="false">
      <c r="A44" s="22" t="str">
        <f aca="false">IF(สินค้า!B23="","",สินค้า!B23)</f>
        <v/>
      </c>
      <c r="B44" s="23" t="str">
        <f aca="false">IF($A44="","",SUMIFS(บันทึกรายวัน!$F$2:$F$1001,บันทึกรายวัน!$B$2:$B$1001,สินค้า!$A23))</f>
        <v/>
      </c>
      <c r="C44" s="23" t="str">
        <f aca="false">IF($A44="","",SUMIFS(บันทึกรายวัน!$G$2:$G$1001,บันทึกรายวัน!$B$2:$B$1001,สินค้า!$A23))</f>
        <v/>
      </c>
      <c r="D44" s="23" t="str">
        <f aca="false">IF($A44="","",SUMIFS(บันทึกรายวัน!$H$2:$H$1001,บันทึกรายวัน!$B$2:$B$1001,สินค้า!$A23))</f>
        <v/>
      </c>
      <c r="E44" s="10" t="str">
        <f aca="false">IF($A44="","",SUMIFS(บันทึกรายวัน!$I$2:$I$1001,บันทึกรายวัน!$B$2:$B$1001,สินค้า!$A23))</f>
        <v/>
      </c>
      <c r="F44" s="10" t="str">
        <f aca="false">IF($A44="","",SUMIFS(บันทึกรายวัน!$K$2:$K$1001,บันทึกรายวัน!$B$2:$B$1001,สินค้า!$A23))</f>
        <v/>
      </c>
      <c r="G44" s="16" t="str">
        <f aca="false">IF(OR($A44="",N(B44)=0),"",C44/B44)</f>
        <v/>
      </c>
      <c r="H44" s="16" t="str">
        <f aca="false">IF(OR($A44="",N(C44)=0),"",D44/C44)</f>
        <v/>
      </c>
    </row>
    <row r="45" customFormat="false" ht="15" hidden="false" customHeight="false" outlineLevel="0" collapsed="false">
      <c r="A45" s="22" t="str">
        <f aca="false">IF(สินค้า!B24="","",สินค้า!B24)</f>
        <v/>
      </c>
      <c r="B45" s="23" t="str">
        <f aca="false">IF($A45="","",SUMIFS(บันทึกรายวัน!$F$2:$F$1001,บันทึกรายวัน!$B$2:$B$1001,สินค้า!$A24))</f>
        <v/>
      </c>
      <c r="C45" s="23" t="str">
        <f aca="false">IF($A45="","",SUMIFS(บันทึกรายวัน!$G$2:$G$1001,บันทึกรายวัน!$B$2:$B$1001,สินค้า!$A24))</f>
        <v/>
      </c>
      <c r="D45" s="23" t="str">
        <f aca="false">IF($A45="","",SUMIFS(บันทึกรายวัน!$H$2:$H$1001,บันทึกรายวัน!$B$2:$B$1001,สินค้า!$A24))</f>
        <v/>
      </c>
      <c r="E45" s="10" t="str">
        <f aca="false">IF($A45="","",SUMIFS(บันทึกรายวัน!$I$2:$I$1001,บันทึกรายวัน!$B$2:$B$1001,สินค้า!$A24))</f>
        <v/>
      </c>
      <c r="F45" s="10" t="str">
        <f aca="false">IF($A45="","",SUMIFS(บันทึกรายวัน!$K$2:$K$1001,บันทึกรายวัน!$B$2:$B$1001,สินค้า!$A24))</f>
        <v/>
      </c>
      <c r="G45" s="16" t="str">
        <f aca="false">IF(OR($A45="",N(B45)=0),"",C45/B45)</f>
        <v/>
      </c>
      <c r="H45" s="16" t="str">
        <f aca="false">IF(OR($A45="",N(C45)=0),"",D45/C45)</f>
        <v/>
      </c>
    </row>
    <row r="46" customFormat="false" ht="15" hidden="false" customHeight="false" outlineLevel="0" collapsed="false">
      <c r="A46" s="22" t="str">
        <f aca="false">IF(สินค้า!B25="","",สินค้า!B25)</f>
        <v/>
      </c>
      <c r="B46" s="23" t="str">
        <f aca="false">IF($A46="","",SUMIFS(บันทึกรายวัน!$F$2:$F$1001,บันทึกรายวัน!$B$2:$B$1001,สินค้า!$A25))</f>
        <v/>
      </c>
      <c r="C46" s="23" t="str">
        <f aca="false">IF($A46="","",SUMIFS(บันทึกรายวัน!$G$2:$G$1001,บันทึกรายวัน!$B$2:$B$1001,สินค้า!$A25))</f>
        <v/>
      </c>
      <c r="D46" s="23" t="str">
        <f aca="false">IF($A46="","",SUMIFS(บันทึกรายวัน!$H$2:$H$1001,บันทึกรายวัน!$B$2:$B$1001,สินค้า!$A25))</f>
        <v/>
      </c>
      <c r="E46" s="10" t="str">
        <f aca="false">IF($A46="","",SUMIFS(บันทึกรายวัน!$I$2:$I$1001,บันทึกรายวัน!$B$2:$B$1001,สินค้า!$A25))</f>
        <v/>
      </c>
      <c r="F46" s="10" t="str">
        <f aca="false">IF($A46="","",SUMIFS(บันทึกรายวัน!$K$2:$K$1001,บันทึกรายวัน!$B$2:$B$1001,สินค้า!$A25))</f>
        <v/>
      </c>
      <c r="G46" s="16" t="str">
        <f aca="false">IF(OR($A46="",N(B46)=0),"",C46/B46)</f>
        <v/>
      </c>
      <c r="H46" s="16" t="str">
        <f aca="false">IF(OR($A46="",N(C46)=0),"",D46/C46)</f>
        <v/>
      </c>
    </row>
    <row r="47" customFormat="false" ht="15" hidden="false" customHeight="false" outlineLevel="0" collapsed="false">
      <c r="A47" s="22" t="str">
        <f aca="false">IF(สินค้า!B26="","",สินค้า!B26)</f>
        <v/>
      </c>
      <c r="B47" s="23" t="str">
        <f aca="false">IF($A47="","",SUMIFS(บันทึกรายวัน!$F$2:$F$1001,บันทึกรายวัน!$B$2:$B$1001,สินค้า!$A26))</f>
        <v/>
      </c>
      <c r="C47" s="23" t="str">
        <f aca="false">IF($A47="","",SUMIFS(บันทึกรายวัน!$G$2:$G$1001,บันทึกรายวัน!$B$2:$B$1001,สินค้า!$A26))</f>
        <v/>
      </c>
      <c r="D47" s="23" t="str">
        <f aca="false">IF($A47="","",SUMIFS(บันทึกรายวัน!$H$2:$H$1001,บันทึกรายวัน!$B$2:$B$1001,สินค้า!$A26))</f>
        <v/>
      </c>
      <c r="E47" s="10" t="str">
        <f aca="false">IF($A47="","",SUMIFS(บันทึกรายวัน!$I$2:$I$1001,บันทึกรายวัน!$B$2:$B$1001,สินค้า!$A26))</f>
        <v/>
      </c>
      <c r="F47" s="10" t="str">
        <f aca="false">IF($A47="","",SUMIFS(บันทึกรายวัน!$K$2:$K$1001,บันทึกรายวัน!$B$2:$B$1001,สินค้า!$A26))</f>
        <v/>
      </c>
      <c r="G47" s="16" t="str">
        <f aca="false">IF(OR($A47="",N(B47)=0),"",C47/B47)</f>
        <v/>
      </c>
      <c r="H47" s="16" t="str">
        <f aca="false">IF(OR($A47="",N(C47)=0),"",D47/C47)</f>
        <v/>
      </c>
    </row>
    <row r="48" customFormat="false" ht="15" hidden="false" customHeight="false" outlineLevel="0" collapsed="false">
      <c r="A48" s="22" t="str">
        <f aca="false">IF(สินค้า!B27="","",สินค้า!B27)</f>
        <v/>
      </c>
      <c r="B48" s="23" t="str">
        <f aca="false">IF($A48="","",SUMIFS(บันทึกรายวัน!$F$2:$F$1001,บันทึกรายวัน!$B$2:$B$1001,สินค้า!$A27))</f>
        <v/>
      </c>
      <c r="C48" s="23" t="str">
        <f aca="false">IF($A48="","",SUMIFS(บันทึกรายวัน!$G$2:$G$1001,บันทึกรายวัน!$B$2:$B$1001,สินค้า!$A27))</f>
        <v/>
      </c>
      <c r="D48" s="23" t="str">
        <f aca="false">IF($A48="","",SUMIFS(บันทึกรายวัน!$H$2:$H$1001,บันทึกรายวัน!$B$2:$B$1001,สินค้า!$A27))</f>
        <v/>
      </c>
      <c r="E48" s="10" t="str">
        <f aca="false">IF($A48="","",SUMIFS(บันทึกรายวัน!$I$2:$I$1001,บันทึกรายวัน!$B$2:$B$1001,สินค้า!$A27))</f>
        <v/>
      </c>
      <c r="F48" s="10" t="str">
        <f aca="false">IF($A48="","",SUMIFS(บันทึกรายวัน!$K$2:$K$1001,บันทึกรายวัน!$B$2:$B$1001,สินค้า!$A27))</f>
        <v/>
      </c>
      <c r="G48" s="16" t="str">
        <f aca="false">IF(OR($A48="",N(B48)=0),"",C48/B48)</f>
        <v/>
      </c>
      <c r="H48" s="16" t="str">
        <f aca="false">IF(OR($A48="",N(C48)=0),"",D48/C48)</f>
        <v/>
      </c>
    </row>
    <row r="49" customFormat="false" ht="15" hidden="false" customHeight="false" outlineLevel="0" collapsed="false">
      <c r="A49" s="22" t="str">
        <f aca="false">IF(สินค้า!B28="","",สินค้า!B28)</f>
        <v/>
      </c>
      <c r="B49" s="23" t="str">
        <f aca="false">IF($A49="","",SUMIFS(บันทึกรายวัน!$F$2:$F$1001,บันทึกรายวัน!$B$2:$B$1001,สินค้า!$A28))</f>
        <v/>
      </c>
      <c r="C49" s="23" t="str">
        <f aca="false">IF($A49="","",SUMIFS(บันทึกรายวัน!$G$2:$G$1001,บันทึกรายวัน!$B$2:$B$1001,สินค้า!$A28))</f>
        <v/>
      </c>
      <c r="D49" s="23" t="str">
        <f aca="false">IF($A49="","",SUMIFS(บันทึกรายวัน!$H$2:$H$1001,บันทึกรายวัน!$B$2:$B$1001,สินค้า!$A28))</f>
        <v/>
      </c>
      <c r="E49" s="10" t="str">
        <f aca="false">IF($A49="","",SUMIFS(บันทึกรายวัน!$I$2:$I$1001,บันทึกรายวัน!$B$2:$B$1001,สินค้า!$A28))</f>
        <v/>
      </c>
      <c r="F49" s="10" t="str">
        <f aca="false">IF($A49="","",SUMIFS(บันทึกรายวัน!$K$2:$K$1001,บันทึกรายวัน!$B$2:$B$1001,สินค้า!$A28))</f>
        <v/>
      </c>
      <c r="G49" s="16" t="str">
        <f aca="false">IF(OR($A49="",N(B49)=0),"",C49/B49)</f>
        <v/>
      </c>
      <c r="H49" s="16" t="str">
        <f aca="false">IF(OR($A49="",N(C49)=0),"",D49/C49)</f>
        <v/>
      </c>
    </row>
    <row r="50" customFormat="false" ht="15" hidden="false" customHeight="false" outlineLevel="0" collapsed="false">
      <c r="A50" s="22" t="str">
        <f aca="false">IF(สินค้า!B29="","",สินค้า!B29)</f>
        <v/>
      </c>
      <c r="B50" s="23" t="str">
        <f aca="false">IF($A50="","",SUMIFS(บันทึกรายวัน!$F$2:$F$1001,บันทึกรายวัน!$B$2:$B$1001,สินค้า!$A29))</f>
        <v/>
      </c>
      <c r="C50" s="23" t="str">
        <f aca="false">IF($A50="","",SUMIFS(บันทึกรายวัน!$G$2:$G$1001,บันทึกรายวัน!$B$2:$B$1001,สินค้า!$A29))</f>
        <v/>
      </c>
      <c r="D50" s="23" t="str">
        <f aca="false">IF($A50="","",SUMIFS(บันทึกรายวัน!$H$2:$H$1001,บันทึกรายวัน!$B$2:$B$1001,สินค้า!$A29))</f>
        <v/>
      </c>
      <c r="E50" s="10" t="str">
        <f aca="false">IF($A50="","",SUMIFS(บันทึกรายวัน!$I$2:$I$1001,บันทึกรายวัน!$B$2:$B$1001,สินค้า!$A29))</f>
        <v/>
      </c>
      <c r="F50" s="10" t="str">
        <f aca="false">IF($A50="","",SUMIFS(บันทึกรายวัน!$K$2:$K$1001,บันทึกรายวัน!$B$2:$B$1001,สินค้า!$A29))</f>
        <v/>
      </c>
      <c r="G50" s="16" t="str">
        <f aca="false">IF(OR($A50="",N(B50)=0),"",C50/B50)</f>
        <v/>
      </c>
      <c r="H50" s="16" t="str">
        <f aca="false">IF(OR($A50="",N(C50)=0),"",D50/C50)</f>
        <v/>
      </c>
    </row>
    <row r="51" customFormat="false" ht="15" hidden="false" customHeight="false" outlineLevel="0" collapsed="false">
      <c r="A51" s="22" t="str">
        <f aca="false">IF(สินค้า!B30="","",สินค้า!B30)</f>
        <v/>
      </c>
      <c r="B51" s="23" t="str">
        <f aca="false">IF($A51="","",SUMIFS(บันทึกรายวัน!$F$2:$F$1001,บันทึกรายวัน!$B$2:$B$1001,สินค้า!$A30))</f>
        <v/>
      </c>
      <c r="C51" s="23" t="str">
        <f aca="false">IF($A51="","",SUMIFS(บันทึกรายวัน!$G$2:$G$1001,บันทึกรายวัน!$B$2:$B$1001,สินค้า!$A30))</f>
        <v/>
      </c>
      <c r="D51" s="23" t="str">
        <f aca="false">IF($A51="","",SUMIFS(บันทึกรายวัน!$H$2:$H$1001,บันทึกรายวัน!$B$2:$B$1001,สินค้า!$A30))</f>
        <v/>
      </c>
      <c r="E51" s="10" t="str">
        <f aca="false">IF($A51="","",SUMIFS(บันทึกรายวัน!$I$2:$I$1001,บันทึกรายวัน!$B$2:$B$1001,สินค้า!$A30))</f>
        <v/>
      </c>
      <c r="F51" s="10" t="str">
        <f aca="false">IF($A51="","",SUMIFS(บันทึกรายวัน!$K$2:$K$1001,บันทึกรายวัน!$B$2:$B$1001,สินค้า!$A30))</f>
        <v/>
      </c>
      <c r="G51" s="16" t="str">
        <f aca="false">IF(OR($A51="",N(B51)=0),"",C51/B51)</f>
        <v/>
      </c>
      <c r="H51" s="16" t="str">
        <f aca="false">IF(OR($A51="",N(C51)=0),"",D51/C51)</f>
        <v/>
      </c>
    </row>
    <row r="52" customFormat="false" ht="15" hidden="false" customHeight="false" outlineLevel="0" collapsed="false">
      <c r="A52" s="22" t="str">
        <f aca="false">IF(สินค้า!B31="","",สินค้า!B31)</f>
        <v/>
      </c>
      <c r="B52" s="23" t="str">
        <f aca="false">IF($A52="","",SUMIFS(บันทึกรายวัน!$F$2:$F$1001,บันทึกรายวัน!$B$2:$B$1001,สินค้า!$A31))</f>
        <v/>
      </c>
      <c r="C52" s="23" t="str">
        <f aca="false">IF($A52="","",SUMIFS(บันทึกรายวัน!$G$2:$G$1001,บันทึกรายวัน!$B$2:$B$1001,สินค้า!$A31))</f>
        <v/>
      </c>
      <c r="D52" s="23" t="str">
        <f aca="false">IF($A52="","",SUMIFS(บันทึกรายวัน!$H$2:$H$1001,บันทึกรายวัน!$B$2:$B$1001,สินค้า!$A31))</f>
        <v/>
      </c>
      <c r="E52" s="10" t="str">
        <f aca="false">IF($A52="","",SUMIFS(บันทึกรายวัน!$I$2:$I$1001,บันทึกรายวัน!$B$2:$B$1001,สินค้า!$A31))</f>
        <v/>
      </c>
      <c r="F52" s="10" t="str">
        <f aca="false">IF($A52="","",SUMIFS(บันทึกรายวัน!$K$2:$K$1001,บันทึกรายวัน!$B$2:$B$1001,สินค้า!$A31))</f>
        <v/>
      </c>
      <c r="G52" s="16" t="str">
        <f aca="false">IF(OR($A52="",N(B52)=0),"",C52/B52)</f>
        <v/>
      </c>
      <c r="H52" s="16" t="str">
        <f aca="false">IF(OR($A52="",N(C52)=0),"",D52/C52)</f>
        <v/>
      </c>
    </row>
    <row r="53" customFormat="false" ht="15" hidden="false" customHeight="false" outlineLevel="0" collapsed="false">
      <c r="A53" s="22" t="str">
        <f aca="false">IF(สินค้า!B32="","",สินค้า!B32)</f>
        <v/>
      </c>
      <c r="B53" s="23" t="str">
        <f aca="false">IF($A53="","",SUMIFS(บันทึกรายวัน!$F$2:$F$1001,บันทึกรายวัน!$B$2:$B$1001,สินค้า!$A32))</f>
        <v/>
      </c>
      <c r="C53" s="23" t="str">
        <f aca="false">IF($A53="","",SUMIFS(บันทึกรายวัน!$G$2:$G$1001,บันทึกรายวัน!$B$2:$B$1001,สินค้า!$A32))</f>
        <v/>
      </c>
      <c r="D53" s="23" t="str">
        <f aca="false">IF($A53="","",SUMIFS(บันทึกรายวัน!$H$2:$H$1001,บันทึกรายวัน!$B$2:$B$1001,สินค้า!$A32))</f>
        <v/>
      </c>
      <c r="E53" s="10" t="str">
        <f aca="false">IF($A53="","",SUMIFS(บันทึกรายวัน!$I$2:$I$1001,บันทึกรายวัน!$B$2:$B$1001,สินค้า!$A32))</f>
        <v/>
      </c>
      <c r="F53" s="10" t="str">
        <f aca="false">IF($A53="","",SUMIFS(บันทึกรายวัน!$K$2:$K$1001,บันทึกรายวัน!$B$2:$B$1001,สินค้า!$A32))</f>
        <v/>
      </c>
      <c r="G53" s="16" t="str">
        <f aca="false">IF(OR($A53="",N(B53)=0),"",C53/B53)</f>
        <v/>
      </c>
      <c r="H53" s="16" t="str">
        <f aca="false">IF(OR($A53="",N(C53)=0),"",D53/C53)</f>
        <v/>
      </c>
    </row>
    <row r="54" customFormat="false" ht="15" hidden="false" customHeight="false" outlineLevel="0" collapsed="false">
      <c r="A54" s="22" t="str">
        <f aca="false">IF(สินค้า!B33="","",สินค้า!B33)</f>
        <v/>
      </c>
      <c r="B54" s="23" t="str">
        <f aca="false">IF($A54="","",SUMIFS(บันทึกรายวัน!$F$2:$F$1001,บันทึกรายวัน!$B$2:$B$1001,สินค้า!$A33))</f>
        <v/>
      </c>
      <c r="C54" s="23" t="str">
        <f aca="false">IF($A54="","",SUMIFS(บันทึกรายวัน!$G$2:$G$1001,บันทึกรายวัน!$B$2:$B$1001,สินค้า!$A33))</f>
        <v/>
      </c>
      <c r="D54" s="23" t="str">
        <f aca="false">IF($A54="","",SUMIFS(บันทึกรายวัน!$H$2:$H$1001,บันทึกรายวัน!$B$2:$B$1001,สินค้า!$A33))</f>
        <v/>
      </c>
      <c r="E54" s="10" t="str">
        <f aca="false">IF($A54="","",SUMIFS(บันทึกรายวัน!$I$2:$I$1001,บันทึกรายวัน!$B$2:$B$1001,สินค้า!$A33))</f>
        <v/>
      </c>
      <c r="F54" s="10" t="str">
        <f aca="false">IF($A54="","",SUMIFS(บันทึกรายวัน!$K$2:$K$1001,บันทึกรายวัน!$B$2:$B$1001,สินค้า!$A33))</f>
        <v/>
      </c>
      <c r="G54" s="16" t="str">
        <f aca="false">IF(OR($A54="",N(B54)=0),"",C54/B54)</f>
        <v/>
      </c>
      <c r="H54" s="16" t="str">
        <f aca="false">IF(OR($A54="",N(C54)=0),"",D54/C54)</f>
        <v/>
      </c>
    </row>
    <row r="55" customFormat="false" ht="15" hidden="false" customHeight="false" outlineLevel="0" collapsed="false">
      <c r="A55" s="22" t="str">
        <f aca="false">IF(สินค้า!B34="","",สินค้า!B34)</f>
        <v/>
      </c>
      <c r="B55" s="23" t="str">
        <f aca="false">IF($A55="","",SUMIFS(บันทึกรายวัน!$F$2:$F$1001,บันทึกรายวัน!$B$2:$B$1001,สินค้า!$A34))</f>
        <v/>
      </c>
      <c r="C55" s="23" t="str">
        <f aca="false">IF($A55="","",SUMIFS(บันทึกรายวัน!$G$2:$G$1001,บันทึกรายวัน!$B$2:$B$1001,สินค้า!$A34))</f>
        <v/>
      </c>
      <c r="D55" s="23" t="str">
        <f aca="false">IF($A55="","",SUMIFS(บันทึกรายวัน!$H$2:$H$1001,บันทึกรายวัน!$B$2:$B$1001,สินค้า!$A34))</f>
        <v/>
      </c>
      <c r="E55" s="10" t="str">
        <f aca="false">IF($A55="","",SUMIFS(บันทึกรายวัน!$I$2:$I$1001,บันทึกรายวัน!$B$2:$B$1001,สินค้า!$A34))</f>
        <v/>
      </c>
      <c r="F55" s="10" t="str">
        <f aca="false">IF($A55="","",SUMIFS(บันทึกรายวัน!$K$2:$K$1001,บันทึกรายวัน!$B$2:$B$1001,สินค้า!$A34))</f>
        <v/>
      </c>
      <c r="G55" s="16" t="str">
        <f aca="false">IF(OR($A55="",N(B55)=0),"",C55/B55)</f>
        <v/>
      </c>
      <c r="H55" s="16" t="str">
        <f aca="false">IF(OR($A55="",N(C55)=0),"",D55/C55)</f>
        <v/>
      </c>
    </row>
    <row r="56" customFormat="false" ht="15" hidden="false" customHeight="false" outlineLevel="0" collapsed="false">
      <c r="A56" s="22" t="str">
        <f aca="false">IF(สินค้า!B35="","",สินค้า!B35)</f>
        <v/>
      </c>
      <c r="B56" s="23" t="str">
        <f aca="false">IF($A56="","",SUMIFS(บันทึกรายวัน!$F$2:$F$1001,บันทึกรายวัน!$B$2:$B$1001,สินค้า!$A35))</f>
        <v/>
      </c>
      <c r="C56" s="23" t="str">
        <f aca="false">IF($A56="","",SUMIFS(บันทึกรายวัน!$G$2:$G$1001,บันทึกรายวัน!$B$2:$B$1001,สินค้า!$A35))</f>
        <v/>
      </c>
      <c r="D56" s="23" t="str">
        <f aca="false">IF($A56="","",SUMIFS(บันทึกรายวัน!$H$2:$H$1001,บันทึกรายวัน!$B$2:$B$1001,สินค้า!$A35))</f>
        <v/>
      </c>
      <c r="E56" s="10" t="str">
        <f aca="false">IF($A56="","",SUMIFS(บันทึกรายวัน!$I$2:$I$1001,บันทึกรายวัน!$B$2:$B$1001,สินค้า!$A35))</f>
        <v/>
      </c>
      <c r="F56" s="10" t="str">
        <f aca="false">IF($A56="","",SUMIFS(บันทึกรายวัน!$K$2:$K$1001,บันทึกรายวัน!$B$2:$B$1001,สินค้า!$A35))</f>
        <v/>
      </c>
      <c r="G56" s="16" t="str">
        <f aca="false">IF(OR($A56="",N(B56)=0),"",C56/B56)</f>
        <v/>
      </c>
      <c r="H56" s="16" t="str">
        <f aca="false">IF(OR($A56="",N(C56)=0),"",D56/C56)</f>
        <v/>
      </c>
    </row>
    <row r="57" customFormat="false" ht="15" hidden="false" customHeight="false" outlineLevel="0" collapsed="false">
      <c r="A57" s="22" t="str">
        <f aca="false">IF(สินค้า!B36="","",สินค้า!B36)</f>
        <v/>
      </c>
      <c r="B57" s="23" t="str">
        <f aca="false">IF($A57="","",SUMIFS(บันทึกรายวัน!$F$2:$F$1001,บันทึกรายวัน!$B$2:$B$1001,สินค้า!$A36))</f>
        <v/>
      </c>
      <c r="C57" s="23" t="str">
        <f aca="false">IF($A57="","",SUMIFS(บันทึกรายวัน!$G$2:$G$1001,บันทึกรายวัน!$B$2:$B$1001,สินค้า!$A36))</f>
        <v/>
      </c>
      <c r="D57" s="23" t="str">
        <f aca="false">IF($A57="","",SUMIFS(บันทึกรายวัน!$H$2:$H$1001,บันทึกรายวัน!$B$2:$B$1001,สินค้า!$A36))</f>
        <v/>
      </c>
      <c r="E57" s="10" t="str">
        <f aca="false">IF($A57="","",SUMIFS(บันทึกรายวัน!$I$2:$I$1001,บันทึกรายวัน!$B$2:$B$1001,สินค้า!$A36))</f>
        <v/>
      </c>
      <c r="F57" s="10" t="str">
        <f aca="false">IF($A57="","",SUMIFS(บันทึกรายวัน!$K$2:$K$1001,บันทึกรายวัน!$B$2:$B$1001,สินค้า!$A36))</f>
        <v/>
      </c>
      <c r="G57" s="16" t="str">
        <f aca="false">IF(OR($A57="",N(B57)=0),"",C57/B57)</f>
        <v/>
      </c>
      <c r="H57" s="16" t="str">
        <f aca="false">IF(OR($A57="",N(C57)=0),"",D57/C57)</f>
        <v/>
      </c>
    </row>
    <row r="58" customFormat="false" ht="15" hidden="false" customHeight="false" outlineLevel="0" collapsed="false">
      <c r="A58" s="22" t="str">
        <f aca="false">IF(สินค้า!B37="","",สินค้า!B37)</f>
        <v/>
      </c>
      <c r="B58" s="23" t="str">
        <f aca="false">IF($A58="","",SUMIFS(บันทึกรายวัน!$F$2:$F$1001,บันทึกรายวัน!$B$2:$B$1001,สินค้า!$A37))</f>
        <v/>
      </c>
      <c r="C58" s="23" t="str">
        <f aca="false">IF($A58="","",SUMIFS(บันทึกรายวัน!$G$2:$G$1001,บันทึกรายวัน!$B$2:$B$1001,สินค้า!$A37))</f>
        <v/>
      </c>
      <c r="D58" s="23" t="str">
        <f aca="false">IF($A58="","",SUMIFS(บันทึกรายวัน!$H$2:$H$1001,บันทึกรายวัน!$B$2:$B$1001,สินค้า!$A37))</f>
        <v/>
      </c>
      <c r="E58" s="10" t="str">
        <f aca="false">IF($A58="","",SUMIFS(บันทึกรายวัน!$I$2:$I$1001,บันทึกรายวัน!$B$2:$B$1001,สินค้า!$A37))</f>
        <v/>
      </c>
      <c r="F58" s="10" t="str">
        <f aca="false">IF($A58="","",SUMIFS(บันทึกรายวัน!$K$2:$K$1001,บันทึกรายวัน!$B$2:$B$1001,สินค้า!$A37))</f>
        <v/>
      </c>
      <c r="G58" s="16" t="str">
        <f aca="false">IF(OR($A58="",N(B58)=0),"",C58/B58)</f>
        <v/>
      </c>
      <c r="H58" s="16" t="str">
        <f aca="false">IF(OR($A58="",N(C58)=0),"",D58/C58)</f>
        <v/>
      </c>
    </row>
    <row r="59" customFormat="false" ht="15" hidden="false" customHeight="false" outlineLevel="0" collapsed="false">
      <c r="A59" s="22" t="str">
        <f aca="false">IF(สินค้า!B38="","",สินค้า!B38)</f>
        <v/>
      </c>
      <c r="B59" s="23" t="str">
        <f aca="false">IF($A59="","",SUMIFS(บันทึกรายวัน!$F$2:$F$1001,บันทึกรายวัน!$B$2:$B$1001,สินค้า!$A38))</f>
        <v/>
      </c>
      <c r="C59" s="23" t="str">
        <f aca="false">IF($A59="","",SUMIFS(บันทึกรายวัน!$G$2:$G$1001,บันทึกรายวัน!$B$2:$B$1001,สินค้า!$A38))</f>
        <v/>
      </c>
      <c r="D59" s="23" t="str">
        <f aca="false">IF($A59="","",SUMIFS(บันทึกรายวัน!$H$2:$H$1001,บันทึกรายวัน!$B$2:$B$1001,สินค้า!$A38))</f>
        <v/>
      </c>
      <c r="E59" s="10" t="str">
        <f aca="false">IF($A59="","",SUMIFS(บันทึกรายวัน!$I$2:$I$1001,บันทึกรายวัน!$B$2:$B$1001,สินค้า!$A38))</f>
        <v/>
      </c>
      <c r="F59" s="10" t="str">
        <f aca="false">IF($A59="","",SUMIFS(บันทึกรายวัน!$K$2:$K$1001,บันทึกรายวัน!$B$2:$B$1001,สินค้า!$A38))</f>
        <v/>
      </c>
      <c r="G59" s="16" t="str">
        <f aca="false">IF(OR($A59="",N(B59)=0),"",C59/B59)</f>
        <v/>
      </c>
      <c r="H59" s="16" t="str">
        <f aca="false">IF(OR($A59="",N(C59)=0),"",D59/C59)</f>
        <v/>
      </c>
    </row>
    <row r="60" customFormat="false" ht="15" hidden="false" customHeight="false" outlineLevel="0" collapsed="false">
      <c r="A60" s="22" t="str">
        <f aca="false">IF(สินค้า!B39="","",สินค้า!B39)</f>
        <v/>
      </c>
      <c r="B60" s="23" t="str">
        <f aca="false">IF($A60="","",SUMIFS(บันทึกรายวัน!$F$2:$F$1001,บันทึกรายวัน!$B$2:$B$1001,สินค้า!$A39))</f>
        <v/>
      </c>
      <c r="C60" s="23" t="str">
        <f aca="false">IF($A60="","",SUMIFS(บันทึกรายวัน!$G$2:$G$1001,บันทึกรายวัน!$B$2:$B$1001,สินค้า!$A39))</f>
        <v/>
      </c>
      <c r="D60" s="23" t="str">
        <f aca="false">IF($A60="","",SUMIFS(บันทึกรายวัน!$H$2:$H$1001,บันทึกรายวัน!$B$2:$B$1001,สินค้า!$A39))</f>
        <v/>
      </c>
      <c r="E60" s="10" t="str">
        <f aca="false">IF($A60="","",SUMIFS(บันทึกรายวัน!$I$2:$I$1001,บันทึกรายวัน!$B$2:$B$1001,สินค้า!$A39))</f>
        <v/>
      </c>
      <c r="F60" s="10" t="str">
        <f aca="false">IF($A60="","",SUMIFS(บันทึกรายวัน!$K$2:$K$1001,บันทึกรายวัน!$B$2:$B$1001,สินค้า!$A39))</f>
        <v/>
      </c>
      <c r="G60" s="16" t="str">
        <f aca="false">IF(OR($A60="",N(B60)=0),"",C60/B60)</f>
        <v/>
      </c>
      <c r="H60" s="16" t="str">
        <f aca="false">IF(OR($A60="",N(C60)=0),"",D60/C60)</f>
        <v/>
      </c>
    </row>
    <row r="61" customFormat="false" ht="15" hidden="false" customHeight="false" outlineLevel="0" collapsed="false">
      <c r="A61" s="22" t="str">
        <f aca="false">IF(สินค้า!B40="","",สินค้า!B40)</f>
        <v/>
      </c>
      <c r="B61" s="23" t="str">
        <f aca="false">IF($A61="","",SUMIFS(บันทึกรายวัน!$F$2:$F$1001,บันทึกรายวัน!$B$2:$B$1001,สินค้า!$A40))</f>
        <v/>
      </c>
      <c r="C61" s="23" t="str">
        <f aca="false">IF($A61="","",SUMIFS(บันทึกรายวัน!$G$2:$G$1001,บันทึกรายวัน!$B$2:$B$1001,สินค้า!$A40))</f>
        <v/>
      </c>
      <c r="D61" s="23" t="str">
        <f aca="false">IF($A61="","",SUMIFS(บันทึกรายวัน!$H$2:$H$1001,บันทึกรายวัน!$B$2:$B$1001,สินค้า!$A40))</f>
        <v/>
      </c>
      <c r="E61" s="10" t="str">
        <f aca="false">IF($A61="","",SUMIFS(บันทึกรายวัน!$I$2:$I$1001,บันทึกรายวัน!$B$2:$B$1001,สินค้า!$A40))</f>
        <v/>
      </c>
      <c r="F61" s="10" t="str">
        <f aca="false">IF($A61="","",SUMIFS(บันทึกรายวัน!$K$2:$K$1001,บันทึกรายวัน!$B$2:$B$1001,สินค้า!$A40))</f>
        <v/>
      </c>
      <c r="G61" s="16" t="str">
        <f aca="false">IF(OR($A61="",N(B61)=0),"",C61/B61)</f>
        <v/>
      </c>
      <c r="H61" s="16" t="str">
        <f aca="false">IF(OR($A61="",N(C61)=0),"",D61/C61)</f>
        <v/>
      </c>
    </row>
    <row r="62" customFormat="false" ht="15" hidden="false" customHeight="false" outlineLevel="0" collapsed="false">
      <c r="A62" s="22" t="str">
        <f aca="false">IF(สินค้า!B41="","",สินค้า!B41)</f>
        <v/>
      </c>
      <c r="B62" s="23" t="str">
        <f aca="false">IF($A62="","",SUMIFS(บันทึกรายวัน!$F$2:$F$1001,บันทึกรายวัน!$B$2:$B$1001,สินค้า!$A41))</f>
        <v/>
      </c>
      <c r="C62" s="23" t="str">
        <f aca="false">IF($A62="","",SUMIFS(บันทึกรายวัน!$G$2:$G$1001,บันทึกรายวัน!$B$2:$B$1001,สินค้า!$A41))</f>
        <v/>
      </c>
      <c r="D62" s="23" t="str">
        <f aca="false">IF($A62="","",SUMIFS(บันทึกรายวัน!$H$2:$H$1001,บันทึกรายวัน!$B$2:$B$1001,สินค้า!$A41))</f>
        <v/>
      </c>
      <c r="E62" s="10" t="str">
        <f aca="false">IF($A62="","",SUMIFS(บันทึกรายวัน!$I$2:$I$1001,บันทึกรายวัน!$B$2:$B$1001,สินค้า!$A41))</f>
        <v/>
      </c>
      <c r="F62" s="10" t="str">
        <f aca="false">IF($A62="","",SUMIFS(บันทึกรายวัน!$K$2:$K$1001,บันทึกรายวัน!$B$2:$B$1001,สินค้า!$A41))</f>
        <v/>
      </c>
      <c r="G62" s="16" t="str">
        <f aca="false">IF(OR($A62="",N(B62)=0),"",C62/B62)</f>
        <v/>
      </c>
      <c r="H62" s="16" t="str">
        <f aca="false">IF(OR($A62="",N(C62)=0),"",D62/C62)</f>
        <v/>
      </c>
    </row>
    <row r="63" customFormat="false" ht="15" hidden="false" customHeight="false" outlineLevel="0" collapsed="false">
      <c r="A63" s="22" t="str">
        <f aca="false">IF(สินค้า!B42="","",สินค้า!B42)</f>
        <v/>
      </c>
      <c r="B63" s="23" t="str">
        <f aca="false">IF($A63="","",SUMIFS(บันทึกรายวัน!$F$2:$F$1001,บันทึกรายวัน!$B$2:$B$1001,สินค้า!$A42))</f>
        <v/>
      </c>
      <c r="C63" s="23" t="str">
        <f aca="false">IF($A63="","",SUMIFS(บันทึกรายวัน!$G$2:$G$1001,บันทึกรายวัน!$B$2:$B$1001,สินค้า!$A42))</f>
        <v/>
      </c>
      <c r="D63" s="23" t="str">
        <f aca="false">IF($A63="","",SUMIFS(บันทึกรายวัน!$H$2:$H$1001,บันทึกรายวัน!$B$2:$B$1001,สินค้า!$A42))</f>
        <v/>
      </c>
      <c r="E63" s="10" t="str">
        <f aca="false">IF($A63="","",SUMIFS(บันทึกรายวัน!$I$2:$I$1001,บันทึกรายวัน!$B$2:$B$1001,สินค้า!$A42))</f>
        <v/>
      </c>
      <c r="F63" s="10" t="str">
        <f aca="false">IF($A63="","",SUMIFS(บันทึกรายวัน!$K$2:$K$1001,บันทึกรายวัน!$B$2:$B$1001,สินค้า!$A42))</f>
        <v/>
      </c>
      <c r="G63" s="16" t="str">
        <f aca="false">IF(OR($A63="",N(B63)=0),"",C63/B63)</f>
        <v/>
      </c>
      <c r="H63" s="16" t="str">
        <f aca="false">IF(OR($A63="",N(C63)=0),"",D63/C63)</f>
        <v/>
      </c>
    </row>
    <row r="64" customFormat="false" ht="15" hidden="false" customHeight="false" outlineLevel="0" collapsed="false">
      <c r="A64" s="22" t="str">
        <f aca="false">IF(สินค้า!B43="","",สินค้า!B43)</f>
        <v/>
      </c>
      <c r="B64" s="23" t="str">
        <f aca="false">IF($A64="","",SUMIFS(บันทึกรายวัน!$F$2:$F$1001,บันทึกรายวัน!$B$2:$B$1001,สินค้า!$A43))</f>
        <v/>
      </c>
      <c r="C64" s="23" t="str">
        <f aca="false">IF($A64="","",SUMIFS(บันทึกรายวัน!$G$2:$G$1001,บันทึกรายวัน!$B$2:$B$1001,สินค้า!$A43))</f>
        <v/>
      </c>
      <c r="D64" s="23" t="str">
        <f aca="false">IF($A64="","",SUMIFS(บันทึกรายวัน!$H$2:$H$1001,บันทึกรายวัน!$B$2:$B$1001,สินค้า!$A43))</f>
        <v/>
      </c>
      <c r="E64" s="10" t="str">
        <f aca="false">IF($A64="","",SUMIFS(บันทึกรายวัน!$I$2:$I$1001,บันทึกรายวัน!$B$2:$B$1001,สินค้า!$A43))</f>
        <v/>
      </c>
      <c r="F64" s="10" t="str">
        <f aca="false">IF($A64="","",SUMIFS(บันทึกรายวัน!$K$2:$K$1001,บันทึกรายวัน!$B$2:$B$1001,สินค้า!$A43))</f>
        <v/>
      </c>
      <c r="G64" s="16" t="str">
        <f aca="false">IF(OR($A64="",N(B64)=0),"",C64/B64)</f>
        <v/>
      </c>
      <c r="H64" s="16" t="str">
        <f aca="false">IF(OR($A64="",N(C64)=0),"",D64/C64)</f>
        <v/>
      </c>
    </row>
    <row r="65" customFormat="false" ht="15" hidden="false" customHeight="false" outlineLevel="0" collapsed="false">
      <c r="A65" s="22" t="str">
        <f aca="false">IF(สินค้า!B44="","",สินค้า!B44)</f>
        <v/>
      </c>
      <c r="B65" s="23" t="str">
        <f aca="false">IF($A65="","",SUMIFS(บันทึกรายวัน!$F$2:$F$1001,บันทึกรายวัน!$B$2:$B$1001,สินค้า!$A44))</f>
        <v/>
      </c>
      <c r="C65" s="23" t="str">
        <f aca="false">IF($A65="","",SUMIFS(บันทึกรายวัน!$G$2:$G$1001,บันทึกรายวัน!$B$2:$B$1001,สินค้า!$A44))</f>
        <v/>
      </c>
      <c r="D65" s="23" t="str">
        <f aca="false">IF($A65="","",SUMIFS(บันทึกรายวัน!$H$2:$H$1001,บันทึกรายวัน!$B$2:$B$1001,สินค้า!$A44))</f>
        <v/>
      </c>
      <c r="E65" s="10" t="str">
        <f aca="false">IF($A65="","",SUMIFS(บันทึกรายวัน!$I$2:$I$1001,บันทึกรายวัน!$B$2:$B$1001,สินค้า!$A44))</f>
        <v/>
      </c>
      <c r="F65" s="10" t="str">
        <f aca="false">IF($A65="","",SUMIFS(บันทึกรายวัน!$K$2:$K$1001,บันทึกรายวัน!$B$2:$B$1001,สินค้า!$A44))</f>
        <v/>
      </c>
      <c r="G65" s="16" t="str">
        <f aca="false">IF(OR($A65="",N(B65)=0),"",C65/B65)</f>
        <v/>
      </c>
      <c r="H65" s="16" t="str">
        <f aca="false">IF(OR($A65="",N(C65)=0),"",D65/C65)</f>
        <v/>
      </c>
    </row>
    <row r="66" customFormat="false" ht="15" hidden="false" customHeight="false" outlineLevel="0" collapsed="false">
      <c r="A66" s="22" t="str">
        <f aca="false">IF(สินค้า!B45="","",สินค้า!B45)</f>
        <v/>
      </c>
      <c r="B66" s="23" t="str">
        <f aca="false">IF($A66="","",SUMIFS(บันทึกรายวัน!$F$2:$F$1001,บันทึกรายวัน!$B$2:$B$1001,สินค้า!$A45))</f>
        <v/>
      </c>
      <c r="C66" s="23" t="str">
        <f aca="false">IF($A66="","",SUMIFS(บันทึกรายวัน!$G$2:$G$1001,บันทึกรายวัน!$B$2:$B$1001,สินค้า!$A45))</f>
        <v/>
      </c>
      <c r="D66" s="23" t="str">
        <f aca="false">IF($A66="","",SUMIFS(บันทึกรายวัน!$H$2:$H$1001,บันทึกรายวัน!$B$2:$B$1001,สินค้า!$A45))</f>
        <v/>
      </c>
      <c r="E66" s="10" t="str">
        <f aca="false">IF($A66="","",SUMIFS(บันทึกรายวัน!$I$2:$I$1001,บันทึกรายวัน!$B$2:$B$1001,สินค้า!$A45))</f>
        <v/>
      </c>
      <c r="F66" s="10" t="str">
        <f aca="false">IF($A66="","",SUMIFS(บันทึกรายวัน!$K$2:$K$1001,บันทึกรายวัน!$B$2:$B$1001,สินค้า!$A45))</f>
        <v/>
      </c>
      <c r="G66" s="16" t="str">
        <f aca="false">IF(OR($A66="",N(B66)=0),"",C66/B66)</f>
        <v/>
      </c>
      <c r="H66" s="16" t="str">
        <f aca="false">IF(OR($A66="",N(C66)=0),"",D66/C66)</f>
        <v/>
      </c>
    </row>
    <row r="67" customFormat="false" ht="15" hidden="false" customHeight="false" outlineLevel="0" collapsed="false">
      <c r="A67" s="22" t="str">
        <f aca="false">IF(สินค้า!B46="","",สินค้า!B46)</f>
        <v/>
      </c>
      <c r="B67" s="23" t="str">
        <f aca="false">IF($A67="","",SUMIFS(บันทึกรายวัน!$F$2:$F$1001,บันทึกรายวัน!$B$2:$B$1001,สินค้า!$A46))</f>
        <v/>
      </c>
      <c r="C67" s="23" t="str">
        <f aca="false">IF($A67="","",SUMIFS(บันทึกรายวัน!$G$2:$G$1001,บันทึกรายวัน!$B$2:$B$1001,สินค้า!$A46))</f>
        <v/>
      </c>
      <c r="D67" s="23" t="str">
        <f aca="false">IF($A67="","",SUMIFS(บันทึกรายวัน!$H$2:$H$1001,บันทึกรายวัน!$B$2:$B$1001,สินค้า!$A46))</f>
        <v/>
      </c>
      <c r="E67" s="10" t="str">
        <f aca="false">IF($A67="","",SUMIFS(บันทึกรายวัน!$I$2:$I$1001,บันทึกรายวัน!$B$2:$B$1001,สินค้า!$A46))</f>
        <v/>
      </c>
      <c r="F67" s="10" t="str">
        <f aca="false">IF($A67="","",SUMIFS(บันทึกรายวัน!$K$2:$K$1001,บันทึกรายวัน!$B$2:$B$1001,สินค้า!$A46))</f>
        <v/>
      </c>
      <c r="G67" s="16" t="str">
        <f aca="false">IF(OR($A67="",N(B67)=0),"",C67/B67)</f>
        <v/>
      </c>
      <c r="H67" s="16" t="str">
        <f aca="false">IF(OR($A67="",N(C67)=0),"",D67/C67)</f>
        <v/>
      </c>
    </row>
    <row r="68" customFormat="false" ht="15" hidden="false" customHeight="false" outlineLevel="0" collapsed="false">
      <c r="A68" s="22" t="str">
        <f aca="false">IF(สินค้า!B47="","",สินค้า!B47)</f>
        <v/>
      </c>
      <c r="B68" s="23" t="str">
        <f aca="false">IF($A68="","",SUMIFS(บันทึกรายวัน!$F$2:$F$1001,บันทึกรายวัน!$B$2:$B$1001,สินค้า!$A47))</f>
        <v/>
      </c>
      <c r="C68" s="23" t="str">
        <f aca="false">IF($A68="","",SUMIFS(บันทึกรายวัน!$G$2:$G$1001,บันทึกรายวัน!$B$2:$B$1001,สินค้า!$A47))</f>
        <v/>
      </c>
      <c r="D68" s="23" t="str">
        <f aca="false">IF($A68="","",SUMIFS(บันทึกรายวัน!$H$2:$H$1001,บันทึกรายวัน!$B$2:$B$1001,สินค้า!$A47))</f>
        <v/>
      </c>
      <c r="E68" s="10" t="str">
        <f aca="false">IF($A68="","",SUMIFS(บันทึกรายวัน!$I$2:$I$1001,บันทึกรายวัน!$B$2:$B$1001,สินค้า!$A47))</f>
        <v/>
      </c>
      <c r="F68" s="10" t="str">
        <f aca="false">IF($A68="","",SUMIFS(บันทึกรายวัน!$K$2:$K$1001,บันทึกรายวัน!$B$2:$B$1001,สินค้า!$A47))</f>
        <v/>
      </c>
      <c r="G68" s="16" t="str">
        <f aca="false">IF(OR($A68="",N(B68)=0),"",C68/B68)</f>
        <v/>
      </c>
      <c r="H68" s="16" t="str">
        <f aca="false">IF(OR($A68="",N(C68)=0),"",D68/C68)</f>
        <v/>
      </c>
    </row>
    <row r="69" customFormat="false" ht="15" hidden="false" customHeight="false" outlineLevel="0" collapsed="false">
      <c r="A69" s="22" t="str">
        <f aca="false">IF(สินค้า!B48="","",สินค้า!B48)</f>
        <v/>
      </c>
      <c r="B69" s="23" t="str">
        <f aca="false">IF($A69="","",SUMIFS(บันทึกรายวัน!$F$2:$F$1001,บันทึกรายวัน!$B$2:$B$1001,สินค้า!$A48))</f>
        <v/>
      </c>
      <c r="C69" s="23" t="str">
        <f aca="false">IF($A69="","",SUMIFS(บันทึกรายวัน!$G$2:$G$1001,บันทึกรายวัน!$B$2:$B$1001,สินค้า!$A48))</f>
        <v/>
      </c>
      <c r="D69" s="23" t="str">
        <f aca="false">IF($A69="","",SUMIFS(บันทึกรายวัน!$H$2:$H$1001,บันทึกรายวัน!$B$2:$B$1001,สินค้า!$A48))</f>
        <v/>
      </c>
      <c r="E69" s="10" t="str">
        <f aca="false">IF($A69="","",SUMIFS(บันทึกรายวัน!$I$2:$I$1001,บันทึกรายวัน!$B$2:$B$1001,สินค้า!$A48))</f>
        <v/>
      </c>
      <c r="F69" s="10" t="str">
        <f aca="false">IF($A69="","",SUMIFS(บันทึกรายวัน!$K$2:$K$1001,บันทึกรายวัน!$B$2:$B$1001,สินค้า!$A48))</f>
        <v/>
      </c>
      <c r="G69" s="16" t="str">
        <f aca="false">IF(OR($A69="",N(B69)=0),"",C69/B69)</f>
        <v/>
      </c>
      <c r="H69" s="16" t="str">
        <f aca="false">IF(OR($A69="",N(C69)=0),"",D69/C69)</f>
        <v/>
      </c>
    </row>
    <row r="70" customFormat="false" ht="15" hidden="false" customHeight="false" outlineLevel="0" collapsed="false">
      <c r="A70" s="22" t="str">
        <f aca="false">IF(สินค้า!B49="","",สินค้า!B49)</f>
        <v/>
      </c>
      <c r="B70" s="23" t="str">
        <f aca="false">IF($A70="","",SUMIFS(บันทึกรายวัน!$F$2:$F$1001,บันทึกรายวัน!$B$2:$B$1001,สินค้า!$A49))</f>
        <v/>
      </c>
      <c r="C70" s="23" t="str">
        <f aca="false">IF($A70="","",SUMIFS(บันทึกรายวัน!$G$2:$G$1001,บันทึกรายวัน!$B$2:$B$1001,สินค้า!$A49))</f>
        <v/>
      </c>
      <c r="D70" s="23" t="str">
        <f aca="false">IF($A70="","",SUMIFS(บันทึกรายวัน!$H$2:$H$1001,บันทึกรายวัน!$B$2:$B$1001,สินค้า!$A49))</f>
        <v/>
      </c>
      <c r="E70" s="10" t="str">
        <f aca="false">IF($A70="","",SUMIFS(บันทึกรายวัน!$I$2:$I$1001,บันทึกรายวัน!$B$2:$B$1001,สินค้า!$A49))</f>
        <v/>
      </c>
      <c r="F70" s="10" t="str">
        <f aca="false">IF($A70="","",SUMIFS(บันทึกรายวัน!$K$2:$K$1001,บันทึกรายวัน!$B$2:$B$1001,สินค้า!$A49))</f>
        <v/>
      </c>
      <c r="G70" s="16" t="str">
        <f aca="false">IF(OR($A70="",N(B70)=0),"",C70/B70)</f>
        <v/>
      </c>
      <c r="H70" s="16" t="str">
        <f aca="false">IF(OR($A70="",N(C70)=0),"",D70/C70)</f>
        <v/>
      </c>
    </row>
    <row r="71" customFormat="false" ht="15" hidden="false" customHeight="false" outlineLevel="0" collapsed="false">
      <c r="A71" s="22" t="str">
        <f aca="false">IF(สินค้า!B50="","",สินค้า!B50)</f>
        <v/>
      </c>
      <c r="B71" s="23" t="str">
        <f aca="false">IF($A71="","",SUMIFS(บันทึกรายวัน!$F$2:$F$1001,บันทึกรายวัน!$B$2:$B$1001,สินค้า!$A50))</f>
        <v/>
      </c>
      <c r="C71" s="23" t="str">
        <f aca="false">IF($A71="","",SUMIFS(บันทึกรายวัน!$G$2:$G$1001,บันทึกรายวัน!$B$2:$B$1001,สินค้า!$A50))</f>
        <v/>
      </c>
      <c r="D71" s="23" t="str">
        <f aca="false">IF($A71="","",SUMIFS(บันทึกรายวัน!$H$2:$H$1001,บันทึกรายวัน!$B$2:$B$1001,สินค้า!$A50))</f>
        <v/>
      </c>
      <c r="E71" s="10" t="str">
        <f aca="false">IF($A71="","",SUMIFS(บันทึกรายวัน!$I$2:$I$1001,บันทึกรายวัน!$B$2:$B$1001,สินค้า!$A50))</f>
        <v/>
      </c>
      <c r="F71" s="10" t="str">
        <f aca="false">IF($A71="","",SUMIFS(บันทึกรายวัน!$K$2:$K$1001,บันทึกรายวัน!$B$2:$B$1001,สินค้า!$A50))</f>
        <v/>
      </c>
      <c r="G71" s="16" t="str">
        <f aca="false">IF(OR($A71="",N(B71)=0),"",C71/B71)</f>
        <v/>
      </c>
      <c r="H71" s="16" t="str">
        <f aca="false">IF(OR($A71="",N(C71)=0),"",D71/C71)</f>
        <v/>
      </c>
    </row>
    <row r="72" customFormat="false" ht="15" hidden="false" customHeight="false" outlineLevel="0" collapsed="false">
      <c r="A72" s="22" t="str">
        <f aca="false">IF(สินค้า!B51="","",สินค้า!B51)</f>
        <v/>
      </c>
      <c r="B72" s="23" t="str">
        <f aca="false">IF($A72="","",SUMIFS(บันทึกรายวัน!$F$2:$F$1001,บันทึกรายวัน!$B$2:$B$1001,สินค้า!$A51))</f>
        <v/>
      </c>
      <c r="C72" s="23" t="str">
        <f aca="false">IF($A72="","",SUMIFS(บันทึกรายวัน!$G$2:$G$1001,บันทึกรายวัน!$B$2:$B$1001,สินค้า!$A51))</f>
        <v/>
      </c>
      <c r="D72" s="23" t="str">
        <f aca="false">IF($A72="","",SUMIFS(บันทึกรายวัน!$H$2:$H$1001,บันทึกรายวัน!$B$2:$B$1001,สินค้า!$A51))</f>
        <v/>
      </c>
      <c r="E72" s="10" t="str">
        <f aca="false">IF($A72="","",SUMIFS(บันทึกรายวัน!$I$2:$I$1001,บันทึกรายวัน!$B$2:$B$1001,สินค้า!$A51))</f>
        <v/>
      </c>
      <c r="F72" s="10" t="str">
        <f aca="false">IF($A72="","",SUMIFS(บันทึกรายวัน!$K$2:$K$1001,บันทึกรายวัน!$B$2:$B$1001,สินค้า!$A51))</f>
        <v/>
      </c>
      <c r="G72" s="16" t="str">
        <f aca="false">IF(OR($A72="",N(B72)=0),"",C72/B72)</f>
        <v/>
      </c>
      <c r="H72" s="16" t="str">
        <f aca="false">IF(OR($A72="",N(C72)=0),"",D72/C72)</f>
        <v/>
      </c>
    </row>
    <row r="73" customFormat="false" ht="15" hidden="false" customHeight="false" outlineLevel="0" collapsed="false">
      <c r="A73" s="22" t="str">
        <f aca="false">IF(สินค้า!B52="","",สินค้า!B52)</f>
        <v/>
      </c>
      <c r="B73" s="23" t="str">
        <f aca="false">IF($A73="","",SUMIFS(บันทึกรายวัน!$F$2:$F$1001,บันทึกรายวัน!$B$2:$B$1001,สินค้า!$A52))</f>
        <v/>
      </c>
      <c r="C73" s="23" t="str">
        <f aca="false">IF($A73="","",SUMIFS(บันทึกรายวัน!$G$2:$G$1001,บันทึกรายวัน!$B$2:$B$1001,สินค้า!$A52))</f>
        <v/>
      </c>
      <c r="D73" s="23" t="str">
        <f aca="false">IF($A73="","",SUMIFS(บันทึกรายวัน!$H$2:$H$1001,บันทึกรายวัน!$B$2:$B$1001,สินค้า!$A52))</f>
        <v/>
      </c>
      <c r="E73" s="10" t="str">
        <f aca="false">IF($A73="","",SUMIFS(บันทึกรายวัน!$I$2:$I$1001,บันทึกรายวัน!$B$2:$B$1001,สินค้า!$A52))</f>
        <v/>
      </c>
      <c r="F73" s="10" t="str">
        <f aca="false">IF($A73="","",SUMIFS(บันทึกรายวัน!$K$2:$K$1001,บันทึกรายวัน!$B$2:$B$1001,สินค้า!$A52))</f>
        <v/>
      </c>
      <c r="G73" s="16" t="str">
        <f aca="false">IF(OR($A73="",N(B73)=0),"",C73/B73)</f>
        <v/>
      </c>
      <c r="H73" s="16" t="str">
        <f aca="false">IF(OR($A73="",N(C73)=0),"",D73/C73)</f>
        <v/>
      </c>
    </row>
    <row r="74" customFormat="false" ht="15" hidden="false" customHeight="false" outlineLevel="0" collapsed="false">
      <c r="A74" s="22" t="str">
        <f aca="false">IF(สินค้า!B53="","",สินค้า!B53)</f>
        <v/>
      </c>
      <c r="B74" s="23" t="str">
        <f aca="false">IF($A74="","",SUMIFS(บันทึกรายวัน!$F$2:$F$1001,บันทึกรายวัน!$B$2:$B$1001,สินค้า!$A53))</f>
        <v/>
      </c>
      <c r="C74" s="23" t="str">
        <f aca="false">IF($A74="","",SUMIFS(บันทึกรายวัน!$G$2:$G$1001,บันทึกรายวัน!$B$2:$B$1001,สินค้า!$A53))</f>
        <v/>
      </c>
      <c r="D74" s="23" t="str">
        <f aca="false">IF($A74="","",SUMIFS(บันทึกรายวัน!$H$2:$H$1001,บันทึกรายวัน!$B$2:$B$1001,สินค้า!$A53))</f>
        <v/>
      </c>
      <c r="E74" s="10" t="str">
        <f aca="false">IF($A74="","",SUMIFS(บันทึกรายวัน!$I$2:$I$1001,บันทึกรายวัน!$B$2:$B$1001,สินค้า!$A53))</f>
        <v/>
      </c>
      <c r="F74" s="10" t="str">
        <f aca="false">IF($A74="","",SUMIFS(บันทึกรายวัน!$K$2:$K$1001,บันทึกรายวัน!$B$2:$B$1001,สินค้า!$A53))</f>
        <v/>
      </c>
      <c r="G74" s="16" t="str">
        <f aca="false">IF(OR($A74="",N(B74)=0),"",C74/B74)</f>
        <v/>
      </c>
      <c r="H74" s="16" t="str">
        <f aca="false">IF(OR($A74="",N(C74)=0),"",D74/C74)</f>
        <v/>
      </c>
    </row>
    <row r="75" customFormat="false" ht="15" hidden="false" customHeight="false" outlineLevel="0" collapsed="false">
      <c r="A75" s="22" t="str">
        <f aca="false">IF(สินค้า!B54="","",สินค้า!B54)</f>
        <v/>
      </c>
      <c r="B75" s="23" t="str">
        <f aca="false">IF($A75="","",SUMIFS(บันทึกรายวัน!$F$2:$F$1001,บันทึกรายวัน!$B$2:$B$1001,สินค้า!$A54))</f>
        <v/>
      </c>
      <c r="C75" s="23" t="str">
        <f aca="false">IF($A75="","",SUMIFS(บันทึกรายวัน!$G$2:$G$1001,บันทึกรายวัน!$B$2:$B$1001,สินค้า!$A54))</f>
        <v/>
      </c>
      <c r="D75" s="23" t="str">
        <f aca="false">IF($A75="","",SUMIFS(บันทึกรายวัน!$H$2:$H$1001,บันทึกรายวัน!$B$2:$B$1001,สินค้า!$A54))</f>
        <v/>
      </c>
      <c r="E75" s="10" t="str">
        <f aca="false">IF($A75="","",SUMIFS(บันทึกรายวัน!$I$2:$I$1001,บันทึกรายวัน!$B$2:$B$1001,สินค้า!$A54))</f>
        <v/>
      </c>
      <c r="F75" s="10" t="str">
        <f aca="false">IF($A75="","",SUMIFS(บันทึกรายวัน!$K$2:$K$1001,บันทึกรายวัน!$B$2:$B$1001,สินค้า!$A54))</f>
        <v/>
      </c>
      <c r="G75" s="16" t="str">
        <f aca="false">IF(OR($A75="",N(B75)=0),"",C75/B75)</f>
        <v/>
      </c>
      <c r="H75" s="16" t="str">
        <f aca="false">IF(OR($A75="",N(C75)=0),"",D75/C75)</f>
        <v/>
      </c>
    </row>
    <row r="76" customFormat="false" ht="15" hidden="false" customHeight="false" outlineLevel="0" collapsed="false">
      <c r="A76" s="22" t="str">
        <f aca="false">IF(สินค้า!B55="","",สินค้า!B55)</f>
        <v/>
      </c>
      <c r="B76" s="23" t="str">
        <f aca="false">IF($A76="","",SUMIFS(บันทึกรายวัน!$F$2:$F$1001,บันทึกรายวัน!$B$2:$B$1001,สินค้า!$A55))</f>
        <v/>
      </c>
      <c r="C76" s="23" t="str">
        <f aca="false">IF($A76="","",SUMIFS(บันทึกรายวัน!$G$2:$G$1001,บันทึกรายวัน!$B$2:$B$1001,สินค้า!$A55))</f>
        <v/>
      </c>
      <c r="D76" s="23" t="str">
        <f aca="false">IF($A76="","",SUMIFS(บันทึกรายวัน!$H$2:$H$1001,บันทึกรายวัน!$B$2:$B$1001,สินค้า!$A55))</f>
        <v/>
      </c>
      <c r="E76" s="10" t="str">
        <f aca="false">IF($A76="","",SUMIFS(บันทึกรายวัน!$I$2:$I$1001,บันทึกรายวัน!$B$2:$B$1001,สินค้า!$A55))</f>
        <v/>
      </c>
      <c r="F76" s="10" t="str">
        <f aca="false">IF($A76="","",SUMIFS(บันทึกรายวัน!$K$2:$K$1001,บันทึกรายวัน!$B$2:$B$1001,สินค้า!$A55))</f>
        <v/>
      </c>
      <c r="G76" s="16" t="str">
        <f aca="false">IF(OR($A76="",N(B76)=0),"",C76/B76)</f>
        <v/>
      </c>
      <c r="H76" s="16" t="str">
        <f aca="false">IF(OR($A76="",N(C76)=0),"",D76/C76)</f>
        <v/>
      </c>
    </row>
    <row r="77" customFormat="false" ht="15" hidden="false" customHeight="false" outlineLevel="0" collapsed="false">
      <c r="A77" s="22" t="str">
        <f aca="false">IF(สินค้า!B56="","",สินค้า!B56)</f>
        <v/>
      </c>
      <c r="B77" s="23" t="str">
        <f aca="false">IF($A77="","",SUMIFS(บันทึกรายวัน!$F$2:$F$1001,บันทึกรายวัน!$B$2:$B$1001,สินค้า!$A56))</f>
        <v/>
      </c>
      <c r="C77" s="23" t="str">
        <f aca="false">IF($A77="","",SUMIFS(บันทึกรายวัน!$G$2:$G$1001,บันทึกรายวัน!$B$2:$B$1001,สินค้า!$A56))</f>
        <v/>
      </c>
      <c r="D77" s="23" t="str">
        <f aca="false">IF($A77="","",SUMIFS(บันทึกรายวัน!$H$2:$H$1001,บันทึกรายวัน!$B$2:$B$1001,สินค้า!$A56))</f>
        <v/>
      </c>
      <c r="E77" s="10" t="str">
        <f aca="false">IF($A77="","",SUMIFS(บันทึกรายวัน!$I$2:$I$1001,บันทึกรายวัน!$B$2:$B$1001,สินค้า!$A56))</f>
        <v/>
      </c>
      <c r="F77" s="10" t="str">
        <f aca="false">IF($A77="","",SUMIFS(บันทึกรายวัน!$K$2:$K$1001,บันทึกรายวัน!$B$2:$B$1001,สินค้า!$A56))</f>
        <v/>
      </c>
      <c r="G77" s="16" t="str">
        <f aca="false">IF(OR($A77="",N(B77)=0),"",C77/B77)</f>
        <v/>
      </c>
      <c r="H77" s="16" t="str">
        <f aca="false">IF(OR($A77="",N(C77)=0),"",D77/C77)</f>
        <v/>
      </c>
    </row>
    <row r="78" customFormat="false" ht="15" hidden="false" customHeight="false" outlineLevel="0" collapsed="false">
      <c r="A78" s="22" t="str">
        <f aca="false">IF(สินค้า!B57="","",สินค้า!B57)</f>
        <v/>
      </c>
      <c r="B78" s="23" t="str">
        <f aca="false">IF($A78="","",SUMIFS(บันทึกรายวัน!$F$2:$F$1001,บันทึกรายวัน!$B$2:$B$1001,สินค้า!$A57))</f>
        <v/>
      </c>
      <c r="C78" s="23" t="str">
        <f aca="false">IF($A78="","",SUMIFS(บันทึกรายวัน!$G$2:$G$1001,บันทึกรายวัน!$B$2:$B$1001,สินค้า!$A57))</f>
        <v/>
      </c>
      <c r="D78" s="23" t="str">
        <f aca="false">IF($A78="","",SUMIFS(บันทึกรายวัน!$H$2:$H$1001,บันทึกรายวัน!$B$2:$B$1001,สินค้า!$A57))</f>
        <v/>
      </c>
      <c r="E78" s="10" t="str">
        <f aca="false">IF($A78="","",SUMIFS(บันทึกรายวัน!$I$2:$I$1001,บันทึกรายวัน!$B$2:$B$1001,สินค้า!$A57))</f>
        <v/>
      </c>
      <c r="F78" s="10" t="str">
        <f aca="false">IF($A78="","",SUMIFS(บันทึกรายวัน!$K$2:$K$1001,บันทึกรายวัน!$B$2:$B$1001,สินค้า!$A57))</f>
        <v/>
      </c>
      <c r="G78" s="16" t="str">
        <f aca="false">IF(OR($A78="",N(B78)=0),"",C78/B78)</f>
        <v/>
      </c>
      <c r="H78" s="16" t="str">
        <f aca="false">IF(OR($A78="",N(C78)=0),"",D78/C78)</f>
        <v/>
      </c>
    </row>
    <row r="79" customFormat="false" ht="15" hidden="false" customHeight="false" outlineLevel="0" collapsed="false">
      <c r="A79" s="22" t="str">
        <f aca="false">IF(สินค้า!B58="","",สินค้า!B58)</f>
        <v/>
      </c>
      <c r="B79" s="23" t="str">
        <f aca="false">IF($A79="","",SUMIFS(บันทึกรายวัน!$F$2:$F$1001,บันทึกรายวัน!$B$2:$B$1001,สินค้า!$A58))</f>
        <v/>
      </c>
      <c r="C79" s="23" t="str">
        <f aca="false">IF($A79="","",SUMIFS(บันทึกรายวัน!$G$2:$G$1001,บันทึกรายวัน!$B$2:$B$1001,สินค้า!$A58))</f>
        <v/>
      </c>
      <c r="D79" s="23" t="str">
        <f aca="false">IF($A79="","",SUMIFS(บันทึกรายวัน!$H$2:$H$1001,บันทึกรายวัน!$B$2:$B$1001,สินค้า!$A58))</f>
        <v/>
      </c>
      <c r="E79" s="10" t="str">
        <f aca="false">IF($A79="","",SUMIFS(บันทึกรายวัน!$I$2:$I$1001,บันทึกรายวัน!$B$2:$B$1001,สินค้า!$A58))</f>
        <v/>
      </c>
      <c r="F79" s="10" t="str">
        <f aca="false">IF($A79="","",SUMIFS(บันทึกรายวัน!$K$2:$K$1001,บันทึกรายวัน!$B$2:$B$1001,สินค้า!$A58))</f>
        <v/>
      </c>
      <c r="G79" s="16" t="str">
        <f aca="false">IF(OR($A79="",N(B79)=0),"",C79/B79)</f>
        <v/>
      </c>
      <c r="H79" s="16" t="str">
        <f aca="false">IF(OR($A79="",N(C79)=0),"",D79/C79)</f>
        <v/>
      </c>
    </row>
    <row r="80" customFormat="false" ht="15" hidden="false" customHeight="false" outlineLevel="0" collapsed="false">
      <c r="A80" s="22" t="str">
        <f aca="false">IF(สินค้า!B59="","",สินค้า!B59)</f>
        <v/>
      </c>
      <c r="B80" s="23" t="str">
        <f aca="false">IF($A80="","",SUMIFS(บันทึกรายวัน!$F$2:$F$1001,บันทึกรายวัน!$B$2:$B$1001,สินค้า!$A59))</f>
        <v/>
      </c>
      <c r="C80" s="23" t="str">
        <f aca="false">IF($A80="","",SUMIFS(บันทึกรายวัน!$G$2:$G$1001,บันทึกรายวัน!$B$2:$B$1001,สินค้า!$A59))</f>
        <v/>
      </c>
      <c r="D80" s="23" t="str">
        <f aca="false">IF($A80="","",SUMIFS(บันทึกรายวัน!$H$2:$H$1001,บันทึกรายวัน!$B$2:$B$1001,สินค้า!$A59))</f>
        <v/>
      </c>
      <c r="E80" s="10" t="str">
        <f aca="false">IF($A80="","",SUMIFS(บันทึกรายวัน!$I$2:$I$1001,บันทึกรายวัน!$B$2:$B$1001,สินค้า!$A59))</f>
        <v/>
      </c>
      <c r="F80" s="10" t="str">
        <f aca="false">IF($A80="","",SUMIFS(บันทึกรายวัน!$K$2:$K$1001,บันทึกรายวัน!$B$2:$B$1001,สินค้า!$A59))</f>
        <v/>
      </c>
      <c r="G80" s="16" t="str">
        <f aca="false">IF(OR($A80="",N(B80)=0),"",C80/B80)</f>
        <v/>
      </c>
      <c r="H80" s="16" t="str">
        <f aca="false">IF(OR($A80="",N(C80)=0),"",D80/C80)</f>
        <v/>
      </c>
    </row>
    <row r="81" customFormat="false" ht="15" hidden="false" customHeight="false" outlineLevel="0" collapsed="false">
      <c r="A81" s="22" t="str">
        <f aca="false">IF(สินค้า!B60="","",สินค้า!B60)</f>
        <v/>
      </c>
      <c r="B81" s="23" t="str">
        <f aca="false">IF($A81="","",SUMIFS(บันทึกรายวัน!$F$2:$F$1001,บันทึกรายวัน!$B$2:$B$1001,สินค้า!$A60))</f>
        <v/>
      </c>
      <c r="C81" s="23" t="str">
        <f aca="false">IF($A81="","",SUMIFS(บันทึกรายวัน!$G$2:$G$1001,บันทึกรายวัน!$B$2:$B$1001,สินค้า!$A60))</f>
        <v/>
      </c>
      <c r="D81" s="23" t="str">
        <f aca="false">IF($A81="","",SUMIFS(บันทึกรายวัน!$H$2:$H$1001,บันทึกรายวัน!$B$2:$B$1001,สินค้า!$A60))</f>
        <v/>
      </c>
      <c r="E81" s="10" t="str">
        <f aca="false">IF($A81="","",SUMIFS(บันทึกรายวัน!$I$2:$I$1001,บันทึกรายวัน!$B$2:$B$1001,สินค้า!$A60))</f>
        <v/>
      </c>
      <c r="F81" s="10" t="str">
        <f aca="false">IF($A81="","",SUMIFS(บันทึกรายวัน!$K$2:$K$1001,บันทึกรายวัน!$B$2:$B$1001,สินค้า!$A60))</f>
        <v/>
      </c>
      <c r="G81" s="16" t="str">
        <f aca="false">IF(OR($A81="",N(B81)=0),"",C81/B81)</f>
        <v/>
      </c>
      <c r="H81" s="16" t="str">
        <f aca="false">IF(OR($A81="",N(C81)=0),"",D81/C81)</f>
        <v/>
      </c>
    </row>
    <row r="82" customFormat="false" ht="15" hidden="false" customHeight="false" outlineLevel="0" collapsed="false">
      <c r="A82" s="22" t="str">
        <f aca="false">IF(สินค้า!B61="","",สินค้า!B61)</f>
        <v/>
      </c>
      <c r="B82" s="23" t="str">
        <f aca="false">IF($A82="","",SUMIFS(บันทึกรายวัน!$F$2:$F$1001,บันทึกรายวัน!$B$2:$B$1001,สินค้า!$A61))</f>
        <v/>
      </c>
      <c r="C82" s="23" t="str">
        <f aca="false">IF($A82="","",SUMIFS(บันทึกรายวัน!$G$2:$G$1001,บันทึกรายวัน!$B$2:$B$1001,สินค้า!$A61))</f>
        <v/>
      </c>
      <c r="D82" s="23" t="str">
        <f aca="false">IF($A82="","",SUMIFS(บันทึกรายวัน!$H$2:$H$1001,บันทึกรายวัน!$B$2:$B$1001,สินค้า!$A61))</f>
        <v/>
      </c>
      <c r="E82" s="10" t="str">
        <f aca="false">IF($A82="","",SUMIFS(บันทึกรายวัน!$I$2:$I$1001,บันทึกรายวัน!$B$2:$B$1001,สินค้า!$A61))</f>
        <v/>
      </c>
      <c r="F82" s="10" t="str">
        <f aca="false">IF($A82="","",SUMIFS(บันทึกรายวัน!$K$2:$K$1001,บันทึกรายวัน!$B$2:$B$1001,สินค้า!$A61))</f>
        <v/>
      </c>
      <c r="G82" s="16" t="str">
        <f aca="false">IF(OR($A82="",N(B82)=0),"",C82/B82)</f>
        <v/>
      </c>
      <c r="H82" s="16" t="str">
        <f aca="false">IF(OR($A82="",N(C82)=0),"",D82/C82)</f>
        <v/>
      </c>
    </row>
    <row r="83" customFormat="false" ht="15" hidden="false" customHeight="false" outlineLevel="0" collapsed="false">
      <c r="A83" s="22" t="str">
        <f aca="false">IF(สินค้า!B62="","",สินค้า!B62)</f>
        <v/>
      </c>
      <c r="B83" s="23" t="str">
        <f aca="false">IF($A83="","",SUMIFS(บันทึกรายวัน!$F$2:$F$1001,บันทึกรายวัน!$B$2:$B$1001,สินค้า!$A62))</f>
        <v/>
      </c>
      <c r="C83" s="23" t="str">
        <f aca="false">IF($A83="","",SUMIFS(บันทึกรายวัน!$G$2:$G$1001,บันทึกรายวัน!$B$2:$B$1001,สินค้า!$A62))</f>
        <v/>
      </c>
      <c r="D83" s="23" t="str">
        <f aca="false">IF($A83="","",SUMIFS(บันทึกรายวัน!$H$2:$H$1001,บันทึกรายวัน!$B$2:$B$1001,สินค้า!$A62))</f>
        <v/>
      </c>
      <c r="E83" s="10" t="str">
        <f aca="false">IF($A83="","",SUMIFS(บันทึกรายวัน!$I$2:$I$1001,บันทึกรายวัน!$B$2:$B$1001,สินค้า!$A62))</f>
        <v/>
      </c>
      <c r="F83" s="10" t="str">
        <f aca="false">IF($A83="","",SUMIFS(บันทึกรายวัน!$K$2:$K$1001,บันทึกรายวัน!$B$2:$B$1001,สินค้า!$A62))</f>
        <v/>
      </c>
      <c r="G83" s="16" t="str">
        <f aca="false">IF(OR($A83="",N(B83)=0),"",C83/B83)</f>
        <v/>
      </c>
      <c r="H83" s="16" t="str">
        <f aca="false">IF(OR($A83="",N(C83)=0),"",D83/C83)</f>
        <v/>
      </c>
    </row>
    <row r="84" customFormat="false" ht="15" hidden="false" customHeight="false" outlineLevel="0" collapsed="false">
      <c r="A84" s="22" t="str">
        <f aca="false">IF(สินค้า!B63="","",สินค้า!B63)</f>
        <v/>
      </c>
      <c r="B84" s="23" t="str">
        <f aca="false">IF($A84="","",SUMIFS(บันทึกรายวัน!$F$2:$F$1001,บันทึกรายวัน!$B$2:$B$1001,สินค้า!$A63))</f>
        <v/>
      </c>
      <c r="C84" s="23" t="str">
        <f aca="false">IF($A84="","",SUMIFS(บันทึกรายวัน!$G$2:$G$1001,บันทึกรายวัน!$B$2:$B$1001,สินค้า!$A63))</f>
        <v/>
      </c>
      <c r="D84" s="23" t="str">
        <f aca="false">IF($A84="","",SUMIFS(บันทึกรายวัน!$H$2:$H$1001,บันทึกรายวัน!$B$2:$B$1001,สินค้า!$A63))</f>
        <v/>
      </c>
      <c r="E84" s="10" t="str">
        <f aca="false">IF($A84="","",SUMIFS(บันทึกรายวัน!$I$2:$I$1001,บันทึกรายวัน!$B$2:$B$1001,สินค้า!$A63))</f>
        <v/>
      </c>
      <c r="F84" s="10" t="str">
        <f aca="false">IF($A84="","",SUMIFS(บันทึกรายวัน!$K$2:$K$1001,บันทึกรายวัน!$B$2:$B$1001,สินค้า!$A63))</f>
        <v/>
      </c>
      <c r="G84" s="16" t="str">
        <f aca="false">IF(OR($A84="",N(B84)=0),"",C84/B84)</f>
        <v/>
      </c>
      <c r="H84" s="16" t="str">
        <f aca="false">IF(OR($A84="",N(C84)=0),"",D84/C84)</f>
        <v/>
      </c>
    </row>
    <row r="85" customFormat="false" ht="15" hidden="false" customHeight="false" outlineLevel="0" collapsed="false">
      <c r="A85" s="22" t="str">
        <f aca="false">IF(สินค้า!B64="","",สินค้า!B64)</f>
        <v/>
      </c>
      <c r="B85" s="23" t="str">
        <f aca="false">IF($A85="","",SUMIFS(บันทึกรายวัน!$F$2:$F$1001,บันทึกรายวัน!$B$2:$B$1001,สินค้า!$A64))</f>
        <v/>
      </c>
      <c r="C85" s="23" t="str">
        <f aca="false">IF($A85="","",SUMIFS(บันทึกรายวัน!$G$2:$G$1001,บันทึกรายวัน!$B$2:$B$1001,สินค้า!$A64))</f>
        <v/>
      </c>
      <c r="D85" s="23" t="str">
        <f aca="false">IF($A85="","",SUMIFS(บันทึกรายวัน!$H$2:$H$1001,บันทึกรายวัน!$B$2:$B$1001,สินค้า!$A64))</f>
        <v/>
      </c>
      <c r="E85" s="10" t="str">
        <f aca="false">IF($A85="","",SUMIFS(บันทึกรายวัน!$I$2:$I$1001,บันทึกรายวัน!$B$2:$B$1001,สินค้า!$A64))</f>
        <v/>
      </c>
      <c r="F85" s="10" t="str">
        <f aca="false">IF($A85="","",SUMIFS(บันทึกรายวัน!$K$2:$K$1001,บันทึกรายวัน!$B$2:$B$1001,สินค้า!$A64))</f>
        <v/>
      </c>
      <c r="G85" s="16" t="str">
        <f aca="false">IF(OR($A85="",N(B85)=0),"",C85/B85)</f>
        <v/>
      </c>
      <c r="H85" s="16" t="str">
        <f aca="false">IF(OR($A85="",N(C85)=0),"",D85/C85)</f>
        <v/>
      </c>
    </row>
    <row r="86" customFormat="false" ht="15" hidden="false" customHeight="false" outlineLevel="0" collapsed="false">
      <c r="A86" s="22" t="str">
        <f aca="false">IF(สินค้า!B65="","",สินค้า!B65)</f>
        <v/>
      </c>
      <c r="B86" s="23" t="str">
        <f aca="false">IF($A86="","",SUMIFS(บันทึกรายวัน!$F$2:$F$1001,บันทึกรายวัน!$B$2:$B$1001,สินค้า!$A65))</f>
        <v/>
      </c>
      <c r="C86" s="23" t="str">
        <f aca="false">IF($A86="","",SUMIFS(บันทึกรายวัน!$G$2:$G$1001,บันทึกรายวัน!$B$2:$B$1001,สินค้า!$A65))</f>
        <v/>
      </c>
      <c r="D86" s="23" t="str">
        <f aca="false">IF($A86="","",SUMIFS(บันทึกรายวัน!$H$2:$H$1001,บันทึกรายวัน!$B$2:$B$1001,สินค้า!$A65))</f>
        <v/>
      </c>
      <c r="E86" s="10" t="str">
        <f aca="false">IF($A86="","",SUMIFS(บันทึกรายวัน!$I$2:$I$1001,บันทึกรายวัน!$B$2:$B$1001,สินค้า!$A65))</f>
        <v/>
      </c>
      <c r="F86" s="10" t="str">
        <f aca="false">IF($A86="","",SUMIFS(บันทึกรายวัน!$K$2:$K$1001,บันทึกรายวัน!$B$2:$B$1001,สินค้า!$A65))</f>
        <v/>
      </c>
      <c r="G86" s="16" t="str">
        <f aca="false">IF(OR($A86="",N(B86)=0),"",C86/B86)</f>
        <v/>
      </c>
      <c r="H86" s="16" t="str">
        <f aca="false">IF(OR($A86="",N(C86)=0),"",D86/C86)</f>
        <v/>
      </c>
    </row>
    <row r="87" customFormat="false" ht="15" hidden="false" customHeight="false" outlineLevel="0" collapsed="false">
      <c r="A87" s="22" t="str">
        <f aca="false">IF(สินค้า!B66="","",สินค้า!B66)</f>
        <v/>
      </c>
      <c r="B87" s="23" t="str">
        <f aca="false">IF($A87="","",SUMIFS(บันทึกรายวัน!$F$2:$F$1001,บันทึกรายวัน!$B$2:$B$1001,สินค้า!$A66))</f>
        <v/>
      </c>
      <c r="C87" s="23" t="str">
        <f aca="false">IF($A87="","",SUMIFS(บันทึกรายวัน!$G$2:$G$1001,บันทึกรายวัน!$B$2:$B$1001,สินค้า!$A66))</f>
        <v/>
      </c>
      <c r="D87" s="23" t="str">
        <f aca="false">IF($A87="","",SUMIFS(บันทึกรายวัน!$H$2:$H$1001,บันทึกรายวัน!$B$2:$B$1001,สินค้า!$A66))</f>
        <v/>
      </c>
      <c r="E87" s="10" t="str">
        <f aca="false">IF($A87="","",SUMIFS(บันทึกรายวัน!$I$2:$I$1001,บันทึกรายวัน!$B$2:$B$1001,สินค้า!$A66))</f>
        <v/>
      </c>
      <c r="F87" s="10" t="str">
        <f aca="false">IF($A87="","",SUMIFS(บันทึกรายวัน!$K$2:$K$1001,บันทึกรายวัน!$B$2:$B$1001,สินค้า!$A66))</f>
        <v/>
      </c>
      <c r="G87" s="16" t="str">
        <f aca="false">IF(OR($A87="",N(B87)=0),"",C87/B87)</f>
        <v/>
      </c>
      <c r="H87" s="16" t="str">
        <f aca="false">IF(OR($A87="",N(C87)=0),"",D87/C87)</f>
        <v/>
      </c>
    </row>
    <row r="88" customFormat="false" ht="15" hidden="false" customHeight="false" outlineLevel="0" collapsed="false">
      <c r="A88" s="22" t="str">
        <f aca="false">IF(สินค้า!B67="","",สินค้า!B67)</f>
        <v/>
      </c>
      <c r="B88" s="23" t="str">
        <f aca="false">IF($A88="","",SUMIFS(บันทึกรายวัน!$F$2:$F$1001,บันทึกรายวัน!$B$2:$B$1001,สินค้า!$A67))</f>
        <v/>
      </c>
      <c r="C88" s="23" t="str">
        <f aca="false">IF($A88="","",SUMIFS(บันทึกรายวัน!$G$2:$G$1001,บันทึกรายวัน!$B$2:$B$1001,สินค้า!$A67))</f>
        <v/>
      </c>
      <c r="D88" s="23" t="str">
        <f aca="false">IF($A88="","",SUMIFS(บันทึกรายวัน!$H$2:$H$1001,บันทึกรายวัน!$B$2:$B$1001,สินค้า!$A67))</f>
        <v/>
      </c>
      <c r="E88" s="10" t="str">
        <f aca="false">IF($A88="","",SUMIFS(บันทึกรายวัน!$I$2:$I$1001,บันทึกรายวัน!$B$2:$B$1001,สินค้า!$A67))</f>
        <v/>
      </c>
      <c r="F88" s="10" t="str">
        <f aca="false">IF($A88="","",SUMIFS(บันทึกรายวัน!$K$2:$K$1001,บันทึกรายวัน!$B$2:$B$1001,สินค้า!$A67))</f>
        <v/>
      </c>
      <c r="G88" s="16" t="str">
        <f aca="false">IF(OR($A88="",N(B88)=0),"",C88/B88)</f>
        <v/>
      </c>
      <c r="H88" s="16" t="str">
        <f aca="false">IF(OR($A88="",N(C88)=0),"",D88/C88)</f>
        <v/>
      </c>
    </row>
    <row r="89" customFormat="false" ht="15" hidden="false" customHeight="false" outlineLevel="0" collapsed="false">
      <c r="A89" s="22" t="str">
        <f aca="false">IF(สินค้า!B68="","",สินค้า!B68)</f>
        <v/>
      </c>
      <c r="B89" s="23" t="str">
        <f aca="false">IF($A89="","",SUMIFS(บันทึกรายวัน!$F$2:$F$1001,บันทึกรายวัน!$B$2:$B$1001,สินค้า!$A68))</f>
        <v/>
      </c>
      <c r="C89" s="23" t="str">
        <f aca="false">IF($A89="","",SUMIFS(บันทึกรายวัน!$G$2:$G$1001,บันทึกรายวัน!$B$2:$B$1001,สินค้า!$A68))</f>
        <v/>
      </c>
      <c r="D89" s="23" t="str">
        <f aca="false">IF($A89="","",SUMIFS(บันทึกรายวัน!$H$2:$H$1001,บันทึกรายวัน!$B$2:$B$1001,สินค้า!$A68))</f>
        <v/>
      </c>
      <c r="E89" s="10" t="str">
        <f aca="false">IF($A89="","",SUMIFS(บันทึกรายวัน!$I$2:$I$1001,บันทึกรายวัน!$B$2:$B$1001,สินค้า!$A68))</f>
        <v/>
      </c>
      <c r="F89" s="10" t="str">
        <f aca="false">IF($A89="","",SUMIFS(บันทึกรายวัน!$K$2:$K$1001,บันทึกรายวัน!$B$2:$B$1001,สินค้า!$A68))</f>
        <v/>
      </c>
      <c r="G89" s="16" t="str">
        <f aca="false">IF(OR($A89="",N(B89)=0),"",C89/B89)</f>
        <v/>
      </c>
      <c r="H89" s="16" t="str">
        <f aca="false">IF(OR($A89="",N(C89)=0),"",D89/C89)</f>
        <v/>
      </c>
    </row>
    <row r="90" customFormat="false" ht="15" hidden="false" customHeight="false" outlineLevel="0" collapsed="false">
      <c r="A90" s="22" t="str">
        <f aca="false">IF(สินค้า!B69="","",สินค้า!B69)</f>
        <v/>
      </c>
      <c r="B90" s="23" t="str">
        <f aca="false">IF($A90="","",SUMIFS(บันทึกรายวัน!$F$2:$F$1001,บันทึกรายวัน!$B$2:$B$1001,สินค้า!$A69))</f>
        <v/>
      </c>
      <c r="C90" s="23" t="str">
        <f aca="false">IF($A90="","",SUMIFS(บันทึกรายวัน!$G$2:$G$1001,บันทึกรายวัน!$B$2:$B$1001,สินค้า!$A69))</f>
        <v/>
      </c>
      <c r="D90" s="23" t="str">
        <f aca="false">IF($A90="","",SUMIFS(บันทึกรายวัน!$H$2:$H$1001,บันทึกรายวัน!$B$2:$B$1001,สินค้า!$A69))</f>
        <v/>
      </c>
      <c r="E90" s="10" t="str">
        <f aca="false">IF($A90="","",SUMIFS(บันทึกรายวัน!$I$2:$I$1001,บันทึกรายวัน!$B$2:$B$1001,สินค้า!$A69))</f>
        <v/>
      </c>
      <c r="F90" s="10" t="str">
        <f aca="false">IF($A90="","",SUMIFS(บันทึกรายวัน!$K$2:$K$1001,บันทึกรายวัน!$B$2:$B$1001,สินค้า!$A69))</f>
        <v/>
      </c>
      <c r="G90" s="16" t="str">
        <f aca="false">IF(OR($A90="",N(B90)=0),"",C90/B90)</f>
        <v/>
      </c>
      <c r="H90" s="16" t="str">
        <f aca="false">IF(OR($A90="",N(C90)=0),"",D90/C90)</f>
        <v/>
      </c>
    </row>
    <row r="91" customFormat="false" ht="15" hidden="false" customHeight="false" outlineLevel="0" collapsed="false">
      <c r="A91" s="22" t="str">
        <f aca="false">IF(สินค้า!B70="","",สินค้า!B70)</f>
        <v/>
      </c>
      <c r="B91" s="23" t="str">
        <f aca="false">IF($A91="","",SUMIFS(บันทึกรายวัน!$F$2:$F$1001,บันทึกรายวัน!$B$2:$B$1001,สินค้า!$A70))</f>
        <v/>
      </c>
      <c r="C91" s="23" t="str">
        <f aca="false">IF($A91="","",SUMIFS(บันทึกรายวัน!$G$2:$G$1001,บันทึกรายวัน!$B$2:$B$1001,สินค้า!$A70))</f>
        <v/>
      </c>
      <c r="D91" s="23" t="str">
        <f aca="false">IF($A91="","",SUMIFS(บันทึกรายวัน!$H$2:$H$1001,บันทึกรายวัน!$B$2:$B$1001,สินค้า!$A70))</f>
        <v/>
      </c>
      <c r="E91" s="10" t="str">
        <f aca="false">IF($A91="","",SUMIFS(บันทึกรายวัน!$I$2:$I$1001,บันทึกรายวัน!$B$2:$B$1001,สินค้า!$A70))</f>
        <v/>
      </c>
      <c r="F91" s="10" t="str">
        <f aca="false">IF($A91="","",SUMIFS(บันทึกรายวัน!$K$2:$K$1001,บันทึกรายวัน!$B$2:$B$1001,สินค้า!$A70))</f>
        <v/>
      </c>
      <c r="G91" s="16" t="str">
        <f aca="false">IF(OR($A91="",N(B91)=0),"",C91/B91)</f>
        <v/>
      </c>
      <c r="H91" s="16" t="str">
        <f aca="false">IF(OR($A91="",N(C91)=0),"",D91/C91)</f>
        <v/>
      </c>
    </row>
    <row r="92" customFormat="false" ht="15" hidden="false" customHeight="false" outlineLevel="0" collapsed="false">
      <c r="A92" s="22" t="str">
        <f aca="false">IF(สินค้า!B71="","",สินค้า!B71)</f>
        <v/>
      </c>
      <c r="B92" s="23" t="str">
        <f aca="false">IF($A92="","",SUMIFS(บันทึกรายวัน!$F$2:$F$1001,บันทึกรายวัน!$B$2:$B$1001,สินค้า!$A71))</f>
        <v/>
      </c>
      <c r="C92" s="23" t="str">
        <f aca="false">IF($A92="","",SUMIFS(บันทึกรายวัน!$G$2:$G$1001,บันทึกรายวัน!$B$2:$B$1001,สินค้า!$A71))</f>
        <v/>
      </c>
      <c r="D92" s="23" t="str">
        <f aca="false">IF($A92="","",SUMIFS(บันทึกรายวัน!$H$2:$H$1001,บันทึกรายวัน!$B$2:$B$1001,สินค้า!$A71))</f>
        <v/>
      </c>
      <c r="E92" s="10" t="str">
        <f aca="false">IF($A92="","",SUMIFS(บันทึกรายวัน!$I$2:$I$1001,บันทึกรายวัน!$B$2:$B$1001,สินค้า!$A71))</f>
        <v/>
      </c>
      <c r="F92" s="10" t="str">
        <f aca="false">IF($A92="","",SUMIFS(บันทึกรายวัน!$K$2:$K$1001,บันทึกรายวัน!$B$2:$B$1001,สินค้า!$A71))</f>
        <v/>
      </c>
      <c r="G92" s="16" t="str">
        <f aca="false">IF(OR($A92="",N(B92)=0),"",C92/B92)</f>
        <v/>
      </c>
      <c r="H92" s="16" t="str">
        <f aca="false">IF(OR($A92="",N(C92)=0),"",D92/C92)</f>
        <v/>
      </c>
    </row>
    <row r="93" customFormat="false" ht="15" hidden="false" customHeight="false" outlineLevel="0" collapsed="false">
      <c r="A93" s="22" t="str">
        <f aca="false">IF(สินค้า!B72="","",สินค้า!B72)</f>
        <v/>
      </c>
      <c r="B93" s="23" t="str">
        <f aca="false">IF($A93="","",SUMIFS(บันทึกรายวัน!$F$2:$F$1001,บันทึกรายวัน!$B$2:$B$1001,สินค้า!$A72))</f>
        <v/>
      </c>
      <c r="C93" s="23" t="str">
        <f aca="false">IF($A93="","",SUMIFS(บันทึกรายวัน!$G$2:$G$1001,บันทึกรายวัน!$B$2:$B$1001,สินค้า!$A72))</f>
        <v/>
      </c>
      <c r="D93" s="23" t="str">
        <f aca="false">IF($A93="","",SUMIFS(บันทึกรายวัน!$H$2:$H$1001,บันทึกรายวัน!$B$2:$B$1001,สินค้า!$A72))</f>
        <v/>
      </c>
      <c r="E93" s="10" t="str">
        <f aca="false">IF($A93="","",SUMIFS(บันทึกรายวัน!$I$2:$I$1001,บันทึกรายวัน!$B$2:$B$1001,สินค้า!$A72))</f>
        <v/>
      </c>
      <c r="F93" s="10" t="str">
        <f aca="false">IF($A93="","",SUMIFS(บันทึกรายวัน!$K$2:$K$1001,บันทึกรายวัน!$B$2:$B$1001,สินค้า!$A72))</f>
        <v/>
      </c>
      <c r="G93" s="16" t="str">
        <f aca="false">IF(OR($A93="",N(B93)=0),"",C93/B93)</f>
        <v/>
      </c>
      <c r="H93" s="16" t="str">
        <f aca="false">IF(OR($A93="",N(C93)=0),"",D93/C93)</f>
        <v/>
      </c>
    </row>
    <row r="94" customFormat="false" ht="15" hidden="false" customHeight="false" outlineLevel="0" collapsed="false">
      <c r="A94" s="22" t="str">
        <f aca="false">IF(สินค้า!B73="","",สินค้า!B73)</f>
        <v/>
      </c>
      <c r="B94" s="23" t="str">
        <f aca="false">IF($A94="","",SUMIFS(บันทึกรายวัน!$F$2:$F$1001,บันทึกรายวัน!$B$2:$B$1001,สินค้า!$A73))</f>
        <v/>
      </c>
      <c r="C94" s="23" t="str">
        <f aca="false">IF($A94="","",SUMIFS(บันทึกรายวัน!$G$2:$G$1001,บันทึกรายวัน!$B$2:$B$1001,สินค้า!$A73))</f>
        <v/>
      </c>
      <c r="D94" s="23" t="str">
        <f aca="false">IF($A94="","",SUMIFS(บันทึกรายวัน!$H$2:$H$1001,บันทึกรายวัน!$B$2:$B$1001,สินค้า!$A73))</f>
        <v/>
      </c>
      <c r="E94" s="10" t="str">
        <f aca="false">IF($A94="","",SUMIFS(บันทึกรายวัน!$I$2:$I$1001,บันทึกรายวัน!$B$2:$B$1001,สินค้า!$A73))</f>
        <v/>
      </c>
      <c r="F94" s="10" t="str">
        <f aca="false">IF($A94="","",SUMIFS(บันทึกรายวัน!$K$2:$K$1001,บันทึกรายวัน!$B$2:$B$1001,สินค้า!$A73))</f>
        <v/>
      </c>
      <c r="G94" s="16" t="str">
        <f aca="false">IF(OR($A94="",N(B94)=0),"",C94/B94)</f>
        <v/>
      </c>
      <c r="H94" s="16" t="str">
        <f aca="false">IF(OR($A94="",N(C94)=0),"",D94/C94)</f>
        <v/>
      </c>
    </row>
    <row r="95" customFormat="false" ht="15" hidden="false" customHeight="false" outlineLevel="0" collapsed="false">
      <c r="A95" s="22" t="str">
        <f aca="false">IF(สินค้า!B74="","",สินค้า!B74)</f>
        <v/>
      </c>
      <c r="B95" s="23" t="str">
        <f aca="false">IF($A95="","",SUMIFS(บันทึกรายวัน!$F$2:$F$1001,บันทึกรายวัน!$B$2:$B$1001,สินค้า!$A74))</f>
        <v/>
      </c>
      <c r="C95" s="23" t="str">
        <f aca="false">IF($A95="","",SUMIFS(บันทึกรายวัน!$G$2:$G$1001,บันทึกรายวัน!$B$2:$B$1001,สินค้า!$A74))</f>
        <v/>
      </c>
      <c r="D95" s="23" t="str">
        <f aca="false">IF($A95="","",SUMIFS(บันทึกรายวัน!$H$2:$H$1001,บันทึกรายวัน!$B$2:$B$1001,สินค้า!$A74))</f>
        <v/>
      </c>
      <c r="E95" s="10" t="str">
        <f aca="false">IF($A95="","",SUMIFS(บันทึกรายวัน!$I$2:$I$1001,บันทึกรายวัน!$B$2:$B$1001,สินค้า!$A74))</f>
        <v/>
      </c>
      <c r="F95" s="10" t="str">
        <f aca="false">IF($A95="","",SUMIFS(บันทึกรายวัน!$K$2:$K$1001,บันทึกรายวัน!$B$2:$B$1001,สินค้า!$A74))</f>
        <v/>
      </c>
      <c r="G95" s="16" t="str">
        <f aca="false">IF(OR($A95="",N(B95)=0),"",C95/B95)</f>
        <v/>
      </c>
      <c r="H95" s="16" t="str">
        <f aca="false">IF(OR($A95="",N(C95)=0),"",D95/C95)</f>
        <v/>
      </c>
    </row>
    <row r="96" customFormat="false" ht="15" hidden="false" customHeight="false" outlineLevel="0" collapsed="false">
      <c r="A96" s="22" t="str">
        <f aca="false">IF(สินค้า!B75="","",สินค้า!B75)</f>
        <v/>
      </c>
      <c r="B96" s="23" t="str">
        <f aca="false">IF($A96="","",SUMIFS(บันทึกรายวัน!$F$2:$F$1001,บันทึกรายวัน!$B$2:$B$1001,สินค้า!$A75))</f>
        <v/>
      </c>
      <c r="C96" s="23" t="str">
        <f aca="false">IF($A96="","",SUMIFS(บันทึกรายวัน!$G$2:$G$1001,บันทึกรายวัน!$B$2:$B$1001,สินค้า!$A75))</f>
        <v/>
      </c>
      <c r="D96" s="23" t="str">
        <f aca="false">IF($A96="","",SUMIFS(บันทึกรายวัน!$H$2:$H$1001,บันทึกรายวัน!$B$2:$B$1001,สินค้า!$A75))</f>
        <v/>
      </c>
      <c r="E96" s="10" t="str">
        <f aca="false">IF($A96="","",SUMIFS(บันทึกรายวัน!$I$2:$I$1001,บันทึกรายวัน!$B$2:$B$1001,สินค้า!$A75))</f>
        <v/>
      </c>
      <c r="F96" s="10" t="str">
        <f aca="false">IF($A96="","",SUMIFS(บันทึกรายวัน!$K$2:$K$1001,บันทึกรายวัน!$B$2:$B$1001,สินค้า!$A75))</f>
        <v/>
      </c>
      <c r="G96" s="16" t="str">
        <f aca="false">IF(OR($A96="",N(B96)=0),"",C96/B96)</f>
        <v/>
      </c>
      <c r="H96" s="16" t="str">
        <f aca="false">IF(OR($A96="",N(C96)=0),"",D96/C96)</f>
        <v/>
      </c>
    </row>
    <row r="97" customFormat="false" ht="15" hidden="false" customHeight="false" outlineLevel="0" collapsed="false">
      <c r="A97" s="22" t="str">
        <f aca="false">IF(สินค้า!B76="","",สินค้า!B76)</f>
        <v/>
      </c>
      <c r="B97" s="23" t="str">
        <f aca="false">IF($A97="","",SUMIFS(บันทึกรายวัน!$F$2:$F$1001,บันทึกรายวัน!$B$2:$B$1001,สินค้า!$A76))</f>
        <v/>
      </c>
      <c r="C97" s="23" t="str">
        <f aca="false">IF($A97="","",SUMIFS(บันทึกรายวัน!$G$2:$G$1001,บันทึกรายวัน!$B$2:$B$1001,สินค้า!$A76))</f>
        <v/>
      </c>
      <c r="D97" s="23" t="str">
        <f aca="false">IF($A97="","",SUMIFS(บันทึกรายวัน!$H$2:$H$1001,บันทึกรายวัน!$B$2:$B$1001,สินค้า!$A76))</f>
        <v/>
      </c>
      <c r="E97" s="10" t="str">
        <f aca="false">IF($A97="","",SUMIFS(บันทึกรายวัน!$I$2:$I$1001,บันทึกรายวัน!$B$2:$B$1001,สินค้า!$A76))</f>
        <v/>
      </c>
      <c r="F97" s="10" t="str">
        <f aca="false">IF($A97="","",SUMIFS(บันทึกรายวัน!$K$2:$K$1001,บันทึกรายวัน!$B$2:$B$1001,สินค้า!$A76))</f>
        <v/>
      </c>
      <c r="G97" s="16" t="str">
        <f aca="false">IF(OR($A97="",N(B97)=0),"",C97/B97)</f>
        <v/>
      </c>
      <c r="H97" s="16" t="str">
        <f aca="false">IF(OR($A97="",N(C97)=0),"",D97/C97)</f>
        <v/>
      </c>
    </row>
    <row r="98" customFormat="false" ht="15" hidden="false" customHeight="false" outlineLevel="0" collapsed="false">
      <c r="A98" s="22" t="str">
        <f aca="false">IF(สินค้า!B77="","",สินค้า!B77)</f>
        <v/>
      </c>
      <c r="B98" s="23" t="str">
        <f aca="false">IF($A98="","",SUMIFS(บันทึกรายวัน!$F$2:$F$1001,บันทึกรายวัน!$B$2:$B$1001,สินค้า!$A77))</f>
        <v/>
      </c>
      <c r="C98" s="23" t="str">
        <f aca="false">IF($A98="","",SUMIFS(บันทึกรายวัน!$G$2:$G$1001,บันทึกรายวัน!$B$2:$B$1001,สินค้า!$A77))</f>
        <v/>
      </c>
      <c r="D98" s="23" t="str">
        <f aca="false">IF($A98="","",SUMIFS(บันทึกรายวัน!$H$2:$H$1001,บันทึกรายวัน!$B$2:$B$1001,สินค้า!$A77))</f>
        <v/>
      </c>
      <c r="E98" s="10" t="str">
        <f aca="false">IF($A98="","",SUMIFS(บันทึกรายวัน!$I$2:$I$1001,บันทึกรายวัน!$B$2:$B$1001,สินค้า!$A77))</f>
        <v/>
      </c>
      <c r="F98" s="10" t="str">
        <f aca="false">IF($A98="","",SUMIFS(บันทึกรายวัน!$K$2:$K$1001,บันทึกรายวัน!$B$2:$B$1001,สินค้า!$A77))</f>
        <v/>
      </c>
      <c r="G98" s="16" t="str">
        <f aca="false">IF(OR($A98="",N(B98)=0),"",C98/B98)</f>
        <v/>
      </c>
      <c r="H98" s="16" t="str">
        <f aca="false">IF(OR($A98="",N(C98)=0),"",D98/C98)</f>
        <v/>
      </c>
    </row>
    <row r="99" customFormat="false" ht="15" hidden="false" customHeight="false" outlineLevel="0" collapsed="false">
      <c r="A99" s="22" t="str">
        <f aca="false">IF(สินค้า!B78="","",สินค้า!B78)</f>
        <v/>
      </c>
      <c r="B99" s="23" t="str">
        <f aca="false">IF($A99="","",SUMIFS(บันทึกรายวัน!$F$2:$F$1001,บันทึกรายวัน!$B$2:$B$1001,สินค้า!$A78))</f>
        <v/>
      </c>
      <c r="C99" s="23" t="str">
        <f aca="false">IF($A99="","",SUMIFS(บันทึกรายวัน!$G$2:$G$1001,บันทึกรายวัน!$B$2:$B$1001,สินค้า!$A78))</f>
        <v/>
      </c>
      <c r="D99" s="23" t="str">
        <f aca="false">IF($A99="","",SUMIFS(บันทึกรายวัน!$H$2:$H$1001,บันทึกรายวัน!$B$2:$B$1001,สินค้า!$A78))</f>
        <v/>
      </c>
      <c r="E99" s="10" t="str">
        <f aca="false">IF($A99="","",SUMIFS(บันทึกรายวัน!$I$2:$I$1001,บันทึกรายวัน!$B$2:$B$1001,สินค้า!$A78))</f>
        <v/>
      </c>
      <c r="F99" s="10" t="str">
        <f aca="false">IF($A99="","",SUMIFS(บันทึกรายวัน!$K$2:$K$1001,บันทึกรายวัน!$B$2:$B$1001,สินค้า!$A78))</f>
        <v/>
      </c>
      <c r="G99" s="16" t="str">
        <f aca="false">IF(OR($A99="",N(B99)=0),"",C99/B99)</f>
        <v/>
      </c>
      <c r="H99" s="16" t="str">
        <f aca="false">IF(OR($A99="",N(C99)=0),"",D99/C99)</f>
        <v/>
      </c>
    </row>
    <row r="100" customFormat="false" ht="15" hidden="false" customHeight="false" outlineLevel="0" collapsed="false">
      <c r="A100" s="22" t="str">
        <f aca="false">IF(สินค้า!B79="","",สินค้า!B79)</f>
        <v/>
      </c>
      <c r="B100" s="23" t="str">
        <f aca="false">IF($A100="","",SUMIFS(บันทึกรายวัน!$F$2:$F$1001,บันทึกรายวัน!$B$2:$B$1001,สินค้า!$A79))</f>
        <v/>
      </c>
      <c r="C100" s="23" t="str">
        <f aca="false">IF($A100="","",SUMIFS(บันทึกรายวัน!$G$2:$G$1001,บันทึกรายวัน!$B$2:$B$1001,สินค้า!$A79))</f>
        <v/>
      </c>
      <c r="D100" s="23" t="str">
        <f aca="false">IF($A100="","",SUMIFS(บันทึกรายวัน!$H$2:$H$1001,บันทึกรายวัน!$B$2:$B$1001,สินค้า!$A79))</f>
        <v/>
      </c>
      <c r="E100" s="10" t="str">
        <f aca="false">IF($A100="","",SUMIFS(บันทึกรายวัน!$I$2:$I$1001,บันทึกรายวัน!$B$2:$B$1001,สินค้า!$A79))</f>
        <v/>
      </c>
      <c r="F100" s="10" t="str">
        <f aca="false">IF($A100="","",SUMIFS(บันทึกรายวัน!$K$2:$K$1001,บันทึกรายวัน!$B$2:$B$1001,สินค้า!$A79))</f>
        <v/>
      </c>
      <c r="G100" s="16" t="str">
        <f aca="false">IF(OR($A100="",N(B100)=0),"",C100/B100)</f>
        <v/>
      </c>
      <c r="H100" s="16" t="str">
        <f aca="false">IF(OR($A100="",N(C100)=0),"",D100/C100)</f>
        <v/>
      </c>
    </row>
    <row r="101" customFormat="false" ht="15" hidden="false" customHeight="false" outlineLevel="0" collapsed="false">
      <c r="A101" s="22" t="str">
        <f aca="false">IF(สินค้า!B80="","",สินค้า!B80)</f>
        <v/>
      </c>
      <c r="B101" s="23" t="str">
        <f aca="false">IF($A101="","",SUMIFS(บันทึกรายวัน!$F$2:$F$1001,บันทึกรายวัน!$B$2:$B$1001,สินค้า!$A80))</f>
        <v/>
      </c>
      <c r="C101" s="23" t="str">
        <f aca="false">IF($A101="","",SUMIFS(บันทึกรายวัน!$G$2:$G$1001,บันทึกรายวัน!$B$2:$B$1001,สินค้า!$A80))</f>
        <v/>
      </c>
      <c r="D101" s="23" t="str">
        <f aca="false">IF($A101="","",SUMIFS(บันทึกรายวัน!$H$2:$H$1001,บันทึกรายวัน!$B$2:$B$1001,สินค้า!$A80))</f>
        <v/>
      </c>
      <c r="E101" s="10" t="str">
        <f aca="false">IF($A101="","",SUMIFS(บันทึกรายวัน!$I$2:$I$1001,บันทึกรายวัน!$B$2:$B$1001,สินค้า!$A80))</f>
        <v/>
      </c>
      <c r="F101" s="10" t="str">
        <f aca="false">IF($A101="","",SUMIFS(บันทึกรายวัน!$K$2:$K$1001,บันทึกรายวัน!$B$2:$B$1001,สินค้า!$A80))</f>
        <v/>
      </c>
      <c r="G101" s="16" t="str">
        <f aca="false">IF(OR($A101="",N(B101)=0),"",C101/B101)</f>
        <v/>
      </c>
      <c r="H101" s="16" t="str">
        <f aca="false">IF(OR($A101="",N(C101)=0),"",D101/C101)</f>
        <v/>
      </c>
    </row>
    <row r="102" customFormat="false" ht="15" hidden="false" customHeight="false" outlineLevel="0" collapsed="false">
      <c r="A102" s="22" t="str">
        <f aca="false">IF(สินค้า!B81="","",สินค้า!B81)</f>
        <v/>
      </c>
      <c r="B102" s="23" t="str">
        <f aca="false">IF($A102="","",SUMIFS(บันทึกรายวัน!$F$2:$F$1001,บันทึกรายวัน!$B$2:$B$1001,สินค้า!$A81))</f>
        <v/>
      </c>
      <c r="C102" s="23" t="str">
        <f aca="false">IF($A102="","",SUMIFS(บันทึกรายวัน!$G$2:$G$1001,บันทึกรายวัน!$B$2:$B$1001,สินค้า!$A81))</f>
        <v/>
      </c>
      <c r="D102" s="23" t="str">
        <f aca="false">IF($A102="","",SUMIFS(บันทึกรายวัน!$H$2:$H$1001,บันทึกรายวัน!$B$2:$B$1001,สินค้า!$A81))</f>
        <v/>
      </c>
      <c r="E102" s="10" t="str">
        <f aca="false">IF($A102="","",SUMIFS(บันทึกรายวัน!$I$2:$I$1001,บันทึกรายวัน!$B$2:$B$1001,สินค้า!$A81))</f>
        <v/>
      </c>
      <c r="F102" s="10" t="str">
        <f aca="false">IF($A102="","",SUMIFS(บันทึกรายวัน!$K$2:$K$1001,บันทึกรายวัน!$B$2:$B$1001,สินค้า!$A81))</f>
        <v/>
      </c>
      <c r="G102" s="16" t="str">
        <f aca="false">IF(OR($A102="",N(B102)=0),"",C102/B102)</f>
        <v/>
      </c>
      <c r="H102" s="16" t="str">
        <f aca="false">IF(OR($A102="",N(C102)=0),"",D102/C102)</f>
        <v/>
      </c>
    </row>
    <row r="103" customFormat="false" ht="15" hidden="false" customHeight="false" outlineLevel="0" collapsed="false">
      <c r="A103" s="22" t="str">
        <f aca="false">IF(สินค้า!B82="","",สินค้า!B82)</f>
        <v/>
      </c>
      <c r="B103" s="23" t="str">
        <f aca="false">IF($A103="","",SUMIFS(บันทึกรายวัน!$F$2:$F$1001,บันทึกรายวัน!$B$2:$B$1001,สินค้า!$A82))</f>
        <v/>
      </c>
      <c r="C103" s="23" t="str">
        <f aca="false">IF($A103="","",SUMIFS(บันทึกรายวัน!$G$2:$G$1001,บันทึกรายวัน!$B$2:$B$1001,สินค้า!$A82))</f>
        <v/>
      </c>
      <c r="D103" s="23" t="str">
        <f aca="false">IF($A103="","",SUMIFS(บันทึกรายวัน!$H$2:$H$1001,บันทึกรายวัน!$B$2:$B$1001,สินค้า!$A82))</f>
        <v/>
      </c>
      <c r="E103" s="10" t="str">
        <f aca="false">IF($A103="","",SUMIFS(บันทึกรายวัน!$I$2:$I$1001,บันทึกรายวัน!$B$2:$B$1001,สินค้า!$A82))</f>
        <v/>
      </c>
      <c r="F103" s="10" t="str">
        <f aca="false">IF($A103="","",SUMIFS(บันทึกรายวัน!$K$2:$K$1001,บันทึกรายวัน!$B$2:$B$1001,สินค้า!$A82))</f>
        <v/>
      </c>
      <c r="G103" s="16" t="str">
        <f aca="false">IF(OR($A103="",N(B103)=0),"",C103/B103)</f>
        <v/>
      </c>
      <c r="H103" s="16" t="str">
        <f aca="false">IF(OR($A103="",N(C103)=0),"",D103/C103)</f>
        <v/>
      </c>
    </row>
    <row r="104" customFormat="false" ht="15" hidden="false" customHeight="false" outlineLevel="0" collapsed="false">
      <c r="A104" s="22" t="str">
        <f aca="false">IF(สินค้า!B83="","",สินค้า!B83)</f>
        <v/>
      </c>
      <c r="B104" s="23" t="str">
        <f aca="false">IF($A104="","",SUMIFS(บันทึกรายวัน!$F$2:$F$1001,บันทึกรายวัน!$B$2:$B$1001,สินค้า!$A83))</f>
        <v/>
      </c>
      <c r="C104" s="23" t="str">
        <f aca="false">IF($A104="","",SUMIFS(บันทึกรายวัน!$G$2:$G$1001,บันทึกรายวัน!$B$2:$B$1001,สินค้า!$A83))</f>
        <v/>
      </c>
      <c r="D104" s="23" t="str">
        <f aca="false">IF($A104="","",SUMIFS(บันทึกรายวัน!$H$2:$H$1001,บันทึกรายวัน!$B$2:$B$1001,สินค้า!$A83))</f>
        <v/>
      </c>
      <c r="E104" s="10" t="str">
        <f aca="false">IF($A104="","",SUMIFS(บันทึกรายวัน!$I$2:$I$1001,บันทึกรายวัน!$B$2:$B$1001,สินค้า!$A83))</f>
        <v/>
      </c>
      <c r="F104" s="10" t="str">
        <f aca="false">IF($A104="","",SUMIFS(บันทึกรายวัน!$K$2:$K$1001,บันทึกรายวัน!$B$2:$B$1001,สินค้า!$A83))</f>
        <v/>
      </c>
      <c r="G104" s="16" t="str">
        <f aca="false">IF(OR($A104="",N(B104)=0),"",C104/B104)</f>
        <v/>
      </c>
      <c r="H104" s="16" t="str">
        <f aca="false">IF(OR($A104="",N(C104)=0),"",D104/C104)</f>
        <v/>
      </c>
    </row>
    <row r="105" customFormat="false" ht="15" hidden="false" customHeight="false" outlineLevel="0" collapsed="false">
      <c r="A105" s="22" t="str">
        <f aca="false">IF(สินค้า!B84="","",สินค้า!B84)</f>
        <v/>
      </c>
      <c r="B105" s="23" t="str">
        <f aca="false">IF($A105="","",SUMIFS(บันทึกรายวัน!$F$2:$F$1001,บันทึกรายวัน!$B$2:$B$1001,สินค้า!$A84))</f>
        <v/>
      </c>
      <c r="C105" s="23" t="str">
        <f aca="false">IF($A105="","",SUMIFS(บันทึกรายวัน!$G$2:$G$1001,บันทึกรายวัน!$B$2:$B$1001,สินค้า!$A84))</f>
        <v/>
      </c>
      <c r="D105" s="23" t="str">
        <f aca="false">IF($A105="","",SUMIFS(บันทึกรายวัน!$H$2:$H$1001,บันทึกรายวัน!$B$2:$B$1001,สินค้า!$A84))</f>
        <v/>
      </c>
      <c r="E105" s="10" t="str">
        <f aca="false">IF($A105="","",SUMIFS(บันทึกรายวัน!$I$2:$I$1001,บันทึกรายวัน!$B$2:$B$1001,สินค้า!$A84))</f>
        <v/>
      </c>
      <c r="F105" s="10" t="str">
        <f aca="false">IF($A105="","",SUMIFS(บันทึกรายวัน!$K$2:$K$1001,บันทึกรายวัน!$B$2:$B$1001,สินค้า!$A84))</f>
        <v/>
      </c>
      <c r="G105" s="16" t="str">
        <f aca="false">IF(OR($A105="",N(B105)=0),"",C105/B105)</f>
        <v/>
      </c>
      <c r="H105" s="16" t="str">
        <f aca="false">IF(OR($A105="",N(C105)=0),"",D105/C105)</f>
        <v/>
      </c>
    </row>
    <row r="106" customFormat="false" ht="15" hidden="false" customHeight="false" outlineLevel="0" collapsed="false">
      <c r="A106" s="22" t="str">
        <f aca="false">IF(สินค้า!B85="","",สินค้า!B85)</f>
        <v/>
      </c>
      <c r="B106" s="23" t="str">
        <f aca="false">IF($A106="","",SUMIFS(บันทึกรายวัน!$F$2:$F$1001,บันทึกรายวัน!$B$2:$B$1001,สินค้า!$A85))</f>
        <v/>
      </c>
      <c r="C106" s="23" t="str">
        <f aca="false">IF($A106="","",SUMIFS(บันทึกรายวัน!$G$2:$G$1001,บันทึกรายวัน!$B$2:$B$1001,สินค้า!$A85))</f>
        <v/>
      </c>
      <c r="D106" s="23" t="str">
        <f aca="false">IF($A106="","",SUMIFS(บันทึกรายวัน!$H$2:$H$1001,บันทึกรายวัน!$B$2:$B$1001,สินค้า!$A85))</f>
        <v/>
      </c>
      <c r="E106" s="10" t="str">
        <f aca="false">IF($A106="","",SUMIFS(บันทึกรายวัน!$I$2:$I$1001,บันทึกรายวัน!$B$2:$B$1001,สินค้า!$A85))</f>
        <v/>
      </c>
      <c r="F106" s="10" t="str">
        <f aca="false">IF($A106="","",SUMIFS(บันทึกรายวัน!$K$2:$K$1001,บันทึกรายวัน!$B$2:$B$1001,สินค้า!$A85))</f>
        <v/>
      </c>
      <c r="G106" s="16" t="str">
        <f aca="false">IF(OR($A106="",N(B106)=0),"",C106/B106)</f>
        <v/>
      </c>
      <c r="H106" s="16" t="str">
        <f aca="false">IF(OR($A106="",N(C106)=0),"",D106/C106)</f>
        <v/>
      </c>
    </row>
    <row r="107" customFormat="false" ht="15" hidden="false" customHeight="false" outlineLevel="0" collapsed="false">
      <c r="A107" s="22" t="str">
        <f aca="false">IF(สินค้า!B86="","",สินค้า!B86)</f>
        <v/>
      </c>
      <c r="B107" s="23" t="str">
        <f aca="false">IF($A107="","",SUMIFS(บันทึกรายวัน!$F$2:$F$1001,บันทึกรายวัน!$B$2:$B$1001,สินค้า!$A86))</f>
        <v/>
      </c>
      <c r="C107" s="23" t="str">
        <f aca="false">IF($A107="","",SUMIFS(บันทึกรายวัน!$G$2:$G$1001,บันทึกรายวัน!$B$2:$B$1001,สินค้า!$A86))</f>
        <v/>
      </c>
      <c r="D107" s="23" t="str">
        <f aca="false">IF($A107="","",SUMIFS(บันทึกรายวัน!$H$2:$H$1001,บันทึกรายวัน!$B$2:$B$1001,สินค้า!$A86))</f>
        <v/>
      </c>
      <c r="E107" s="10" t="str">
        <f aca="false">IF($A107="","",SUMIFS(บันทึกรายวัน!$I$2:$I$1001,บันทึกรายวัน!$B$2:$B$1001,สินค้า!$A86))</f>
        <v/>
      </c>
      <c r="F107" s="10" t="str">
        <f aca="false">IF($A107="","",SUMIFS(บันทึกรายวัน!$K$2:$K$1001,บันทึกรายวัน!$B$2:$B$1001,สินค้า!$A86))</f>
        <v/>
      </c>
      <c r="G107" s="16" t="str">
        <f aca="false">IF(OR($A107="",N(B107)=0),"",C107/B107)</f>
        <v/>
      </c>
      <c r="H107" s="16" t="str">
        <f aca="false">IF(OR($A107="",N(C107)=0),"",D107/C107)</f>
        <v/>
      </c>
    </row>
    <row r="108" customFormat="false" ht="15" hidden="false" customHeight="false" outlineLevel="0" collapsed="false">
      <c r="A108" s="22" t="str">
        <f aca="false">IF(สินค้า!B87="","",สินค้า!B87)</f>
        <v/>
      </c>
      <c r="B108" s="23" t="str">
        <f aca="false">IF($A108="","",SUMIFS(บันทึกรายวัน!$F$2:$F$1001,บันทึกรายวัน!$B$2:$B$1001,สินค้า!$A87))</f>
        <v/>
      </c>
      <c r="C108" s="23" t="str">
        <f aca="false">IF($A108="","",SUMIFS(บันทึกรายวัน!$G$2:$G$1001,บันทึกรายวัน!$B$2:$B$1001,สินค้า!$A87))</f>
        <v/>
      </c>
      <c r="D108" s="23" t="str">
        <f aca="false">IF($A108="","",SUMIFS(บันทึกรายวัน!$H$2:$H$1001,บันทึกรายวัน!$B$2:$B$1001,สินค้า!$A87))</f>
        <v/>
      </c>
      <c r="E108" s="10" t="str">
        <f aca="false">IF($A108="","",SUMIFS(บันทึกรายวัน!$I$2:$I$1001,บันทึกรายวัน!$B$2:$B$1001,สินค้า!$A87))</f>
        <v/>
      </c>
      <c r="F108" s="10" t="str">
        <f aca="false">IF($A108="","",SUMIFS(บันทึกรายวัน!$K$2:$K$1001,บันทึกรายวัน!$B$2:$B$1001,สินค้า!$A87))</f>
        <v/>
      </c>
      <c r="G108" s="16" t="str">
        <f aca="false">IF(OR($A108="",N(B108)=0),"",C108/B108)</f>
        <v/>
      </c>
      <c r="H108" s="16" t="str">
        <f aca="false">IF(OR($A108="",N(C108)=0),"",D108/C108)</f>
        <v/>
      </c>
    </row>
    <row r="109" customFormat="false" ht="15" hidden="false" customHeight="false" outlineLevel="0" collapsed="false">
      <c r="A109" s="22" t="str">
        <f aca="false">IF(สินค้า!B88="","",สินค้า!B88)</f>
        <v/>
      </c>
      <c r="B109" s="23" t="str">
        <f aca="false">IF($A109="","",SUMIFS(บันทึกรายวัน!$F$2:$F$1001,บันทึกรายวัน!$B$2:$B$1001,สินค้า!$A88))</f>
        <v/>
      </c>
      <c r="C109" s="23" t="str">
        <f aca="false">IF($A109="","",SUMIFS(บันทึกรายวัน!$G$2:$G$1001,บันทึกรายวัน!$B$2:$B$1001,สินค้า!$A88))</f>
        <v/>
      </c>
      <c r="D109" s="23" t="str">
        <f aca="false">IF($A109="","",SUMIFS(บันทึกรายวัน!$H$2:$H$1001,บันทึกรายวัน!$B$2:$B$1001,สินค้า!$A88))</f>
        <v/>
      </c>
      <c r="E109" s="10" t="str">
        <f aca="false">IF($A109="","",SUMIFS(บันทึกรายวัน!$I$2:$I$1001,บันทึกรายวัน!$B$2:$B$1001,สินค้า!$A88))</f>
        <v/>
      </c>
      <c r="F109" s="10" t="str">
        <f aca="false">IF($A109="","",SUMIFS(บันทึกรายวัน!$K$2:$K$1001,บันทึกรายวัน!$B$2:$B$1001,สินค้า!$A88))</f>
        <v/>
      </c>
      <c r="G109" s="16" t="str">
        <f aca="false">IF(OR($A109="",N(B109)=0),"",C109/B109)</f>
        <v/>
      </c>
      <c r="H109" s="16" t="str">
        <f aca="false">IF(OR($A109="",N(C109)=0),"",D109/C109)</f>
        <v/>
      </c>
    </row>
    <row r="110" customFormat="false" ht="15" hidden="false" customHeight="false" outlineLevel="0" collapsed="false">
      <c r="A110" s="22" t="str">
        <f aca="false">IF(สินค้า!B89="","",สินค้า!B89)</f>
        <v/>
      </c>
      <c r="B110" s="23" t="str">
        <f aca="false">IF($A110="","",SUMIFS(บันทึกรายวัน!$F$2:$F$1001,บันทึกรายวัน!$B$2:$B$1001,สินค้า!$A89))</f>
        <v/>
      </c>
      <c r="C110" s="23" t="str">
        <f aca="false">IF($A110="","",SUMIFS(บันทึกรายวัน!$G$2:$G$1001,บันทึกรายวัน!$B$2:$B$1001,สินค้า!$A89))</f>
        <v/>
      </c>
      <c r="D110" s="23" t="str">
        <f aca="false">IF($A110="","",SUMIFS(บันทึกรายวัน!$H$2:$H$1001,บันทึกรายวัน!$B$2:$B$1001,สินค้า!$A89))</f>
        <v/>
      </c>
      <c r="E110" s="10" t="str">
        <f aca="false">IF($A110="","",SUMIFS(บันทึกรายวัน!$I$2:$I$1001,บันทึกรายวัน!$B$2:$B$1001,สินค้า!$A89))</f>
        <v/>
      </c>
      <c r="F110" s="10" t="str">
        <f aca="false">IF($A110="","",SUMIFS(บันทึกรายวัน!$K$2:$K$1001,บันทึกรายวัน!$B$2:$B$1001,สินค้า!$A89))</f>
        <v/>
      </c>
      <c r="G110" s="16" t="str">
        <f aca="false">IF(OR($A110="",N(B110)=0),"",C110/B110)</f>
        <v/>
      </c>
      <c r="H110" s="16" t="str">
        <f aca="false">IF(OR($A110="",N(C110)=0),"",D110/C110)</f>
        <v/>
      </c>
    </row>
    <row r="111" customFormat="false" ht="15" hidden="false" customHeight="false" outlineLevel="0" collapsed="false">
      <c r="A111" s="22" t="str">
        <f aca="false">IF(สินค้า!B90="","",สินค้า!B90)</f>
        <v/>
      </c>
      <c r="B111" s="23" t="str">
        <f aca="false">IF($A111="","",SUMIFS(บันทึกรายวัน!$F$2:$F$1001,บันทึกรายวัน!$B$2:$B$1001,สินค้า!$A90))</f>
        <v/>
      </c>
      <c r="C111" s="23" t="str">
        <f aca="false">IF($A111="","",SUMIFS(บันทึกรายวัน!$G$2:$G$1001,บันทึกรายวัน!$B$2:$B$1001,สินค้า!$A90))</f>
        <v/>
      </c>
      <c r="D111" s="23" t="str">
        <f aca="false">IF($A111="","",SUMIFS(บันทึกรายวัน!$H$2:$H$1001,บันทึกรายวัน!$B$2:$B$1001,สินค้า!$A90))</f>
        <v/>
      </c>
      <c r="E111" s="10" t="str">
        <f aca="false">IF($A111="","",SUMIFS(บันทึกรายวัน!$I$2:$I$1001,บันทึกรายวัน!$B$2:$B$1001,สินค้า!$A90))</f>
        <v/>
      </c>
      <c r="F111" s="10" t="str">
        <f aca="false">IF($A111="","",SUMIFS(บันทึกรายวัน!$K$2:$K$1001,บันทึกรายวัน!$B$2:$B$1001,สินค้า!$A90))</f>
        <v/>
      </c>
      <c r="G111" s="16" t="str">
        <f aca="false">IF(OR($A111="",N(B111)=0),"",C111/B111)</f>
        <v/>
      </c>
      <c r="H111" s="16" t="str">
        <f aca="false">IF(OR($A111="",N(C111)=0),"",D111/C111)</f>
        <v/>
      </c>
    </row>
    <row r="112" customFormat="false" ht="15" hidden="false" customHeight="false" outlineLevel="0" collapsed="false">
      <c r="A112" s="22" t="str">
        <f aca="false">IF(สินค้า!B91="","",สินค้า!B91)</f>
        <v/>
      </c>
      <c r="B112" s="23" t="str">
        <f aca="false">IF($A112="","",SUMIFS(บันทึกรายวัน!$F$2:$F$1001,บันทึกรายวัน!$B$2:$B$1001,สินค้า!$A91))</f>
        <v/>
      </c>
      <c r="C112" s="23" t="str">
        <f aca="false">IF($A112="","",SUMIFS(บันทึกรายวัน!$G$2:$G$1001,บันทึกรายวัน!$B$2:$B$1001,สินค้า!$A91))</f>
        <v/>
      </c>
      <c r="D112" s="23" t="str">
        <f aca="false">IF($A112="","",SUMIFS(บันทึกรายวัน!$H$2:$H$1001,บันทึกรายวัน!$B$2:$B$1001,สินค้า!$A91))</f>
        <v/>
      </c>
      <c r="E112" s="10" t="str">
        <f aca="false">IF($A112="","",SUMIFS(บันทึกรายวัน!$I$2:$I$1001,บันทึกรายวัน!$B$2:$B$1001,สินค้า!$A91))</f>
        <v/>
      </c>
      <c r="F112" s="10" t="str">
        <f aca="false">IF($A112="","",SUMIFS(บันทึกรายวัน!$K$2:$K$1001,บันทึกรายวัน!$B$2:$B$1001,สินค้า!$A91))</f>
        <v/>
      </c>
      <c r="G112" s="16" t="str">
        <f aca="false">IF(OR($A112="",N(B112)=0),"",C112/B112)</f>
        <v/>
      </c>
      <c r="H112" s="16" t="str">
        <f aca="false">IF(OR($A112="",N(C112)=0),"",D112/C112)</f>
        <v/>
      </c>
    </row>
    <row r="113" customFormat="false" ht="15" hidden="false" customHeight="false" outlineLevel="0" collapsed="false">
      <c r="A113" s="22" t="str">
        <f aca="false">IF(สินค้า!B92="","",สินค้า!B92)</f>
        <v/>
      </c>
      <c r="B113" s="23" t="str">
        <f aca="false">IF($A113="","",SUMIFS(บันทึกรายวัน!$F$2:$F$1001,บันทึกรายวัน!$B$2:$B$1001,สินค้า!$A92))</f>
        <v/>
      </c>
      <c r="C113" s="23" t="str">
        <f aca="false">IF($A113="","",SUMIFS(บันทึกรายวัน!$G$2:$G$1001,บันทึกรายวัน!$B$2:$B$1001,สินค้า!$A92))</f>
        <v/>
      </c>
      <c r="D113" s="23" t="str">
        <f aca="false">IF($A113="","",SUMIFS(บันทึกรายวัน!$H$2:$H$1001,บันทึกรายวัน!$B$2:$B$1001,สินค้า!$A92))</f>
        <v/>
      </c>
      <c r="E113" s="10" t="str">
        <f aca="false">IF($A113="","",SUMIFS(บันทึกรายวัน!$I$2:$I$1001,บันทึกรายวัน!$B$2:$B$1001,สินค้า!$A92))</f>
        <v/>
      </c>
      <c r="F113" s="10" t="str">
        <f aca="false">IF($A113="","",SUMIFS(บันทึกรายวัน!$K$2:$K$1001,บันทึกรายวัน!$B$2:$B$1001,สินค้า!$A92))</f>
        <v/>
      </c>
      <c r="G113" s="16" t="str">
        <f aca="false">IF(OR($A113="",N(B113)=0),"",C113/B113)</f>
        <v/>
      </c>
      <c r="H113" s="16" t="str">
        <f aca="false">IF(OR($A113="",N(C113)=0),"",D113/C113)</f>
        <v/>
      </c>
    </row>
    <row r="114" customFormat="false" ht="15" hidden="false" customHeight="false" outlineLevel="0" collapsed="false">
      <c r="A114" s="22" t="str">
        <f aca="false">IF(สินค้า!B93="","",สินค้า!B93)</f>
        <v/>
      </c>
      <c r="B114" s="23" t="str">
        <f aca="false">IF($A114="","",SUMIFS(บันทึกรายวัน!$F$2:$F$1001,บันทึกรายวัน!$B$2:$B$1001,สินค้า!$A93))</f>
        <v/>
      </c>
      <c r="C114" s="23" t="str">
        <f aca="false">IF($A114="","",SUMIFS(บันทึกรายวัน!$G$2:$G$1001,บันทึกรายวัน!$B$2:$B$1001,สินค้า!$A93))</f>
        <v/>
      </c>
      <c r="D114" s="23" t="str">
        <f aca="false">IF($A114="","",SUMIFS(บันทึกรายวัน!$H$2:$H$1001,บันทึกรายวัน!$B$2:$B$1001,สินค้า!$A93))</f>
        <v/>
      </c>
      <c r="E114" s="10" t="str">
        <f aca="false">IF($A114="","",SUMIFS(บันทึกรายวัน!$I$2:$I$1001,บันทึกรายวัน!$B$2:$B$1001,สินค้า!$A93))</f>
        <v/>
      </c>
      <c r="F114" s="10" t="str">
        <f aca="false">IF($A114="","",SUMIFS(บันทึกรายวัน!$K$2:$K$1001,บันทึกรายวัน!$B$2:$B$1001,สินค้า!$A93))</f>
        <v/>
      </c>
      <c r="G114" s="16" t="str">
        <f aca="false">IF(OR($A114="",N(B114)=0),"",C114/B114)</f>
        <v/>
      </c>
      <c r="H114" s="16" t="str">
        <f aca="false">IF(OR($A114="",N(C114)=0),"",D114/C114)</f>
        <v/>
      </c>
    </row>
    <row r="115" customFormat="false" ht="15" hidden="false" customHeight="false" outlineLevel="0" collapsed="false">
      <c r="A115" s="22" t="str">
        <f aca="false">IF(สินค้า!B94="","",สินค้า!B94)</f>
        <v/>
      </c>
      <c r="B115" s="23" t="str">
        <f aca="false">IF($A115="","",SUMIFS(บันทึกรายวัน!$F$2:$F$1001,บันทึกรายวัน!$B$2:$B$1001,สินค้า!$A94))</f>
        <v/>
      </c>
      <c r="C115" s="23" t="str">
        <f aca="false">IF($A115="","",SUMIFS(บันทึกรายวัน!$G$2:$G$1001,บันทึกรายวัน!$B$2:$B$1001,สินค้า!$A94))</f>
        <v/>
      </c>
      <c r="D115" s="23" t="str">
        <f aca="false">IF($A115="","",SUMIFS(บันทึกรายวัน!$H$2:$H$1001,บันทึกรายวัน!$B$2:$B$1001,สินค้า!$A94))</f>
        <v/>
      </c>
      <c r="E115" s="10" t="str">
        <f aca="false">IF($A115="","",SUMIFS(บันทึกรายวัน!$I$2:$I$1001,บันทึกรายวัน!$B$2:$B$1001,สินค้า!$A94))</f>
        <v/>
      </c>
      <c r="F115" s="10" t="str">
        <f aca="false">IF($A115="","",SUMIFS(บันทึกรายวัน!$K$2:$K$1001,บันทึกรายวัน!$B$2:$B$1001,สินค้า!$A94))</f>
        <v/>
      </c>
      <c r="G115" s="16" t="str">
        <f aca="false">IF(OR($A115="",N(B115)=0),"",C115/B115)</f>
        <v/>
      </c>
      <c r="H115" s="16" t="str">
        <f aca="false">IF(OR($A115="",N(C115)=0),"",D115/C115)</f>
        <v/>
      </c>
    </row>
    <row r="116" customFormat="false" ht="15" hidden="false" customHeight="false" outlineLevel="0" collapsed="false">
      <c r="A116" s="22" t="str">
        <f aca="false">IF(สินค้า!B95="","",สินค้า!B95)</f>
        <v/>
      </c>
      <c r="B116" s="23" t="str">
        <f aca="false">IF($A116="","",SUMIFS(บันทึกรายวัน!$F$2:$F$1001,บันทึกรายวัน!$B$2:$B$1001,สินค้า!$A95))</f>
        <v/>
      </c>
      <c r="C116" s="23" t="str">
        <f aca="false">IF($A116="","",SUMIFS(บันทึกรายวัน!$G$2:$G$1001,บันทึกรายวัน!$B$2:$B$1001,สินค้า!$A95))</f>
        <v/>
      </c>
      <c r="D116" s="23" t="str">
        <f aca="false">IF($A116="","",SUMIFS(บันทึกรายวัน!$H$2:$H$1001,บันทึกรายวัน!$B$2:$B$1001,สินค้า!$A95))</f>
        <v/>
      </c>
      <c r="E116" s="10" t="str">
        <f aca="false">IF($A116="","",SUMIFS(บันทึกรายวัน!$I$2:$I$1001,บันทึกรายวัน!$B$2:$B$1001,สินค้า!$A95))</f>
        <v/>
      </c>
      <c r="F116" s="10" t="str">
        <f aca="false">IF($A116="","",SUMIFS(บันทึกรายวัน!$K$2:$K$1001,บันทึกรายวัน!$B$2:$B$1001,สินค้า!$A95))</f>
        <v/>
      </c>
      <c r="G116" s="16" t="str">
        <f aca="false">IF(OR($A116="",N(B116)=0),"",C116/B116)</f>
        <v/>
      </c>
      <c r="H116" s="16" t="str">
        <f aca="false">IF(OR($A116="",N(C116)=0),"",D116/C116)</f>
        <v/>
      </c>
    </row>
    <row r="117" customFormat="false" ht="15" hidden="false" customHeight="false" outlineLevel="0" collapsed="false">
      <c r="A117" s="22" t="str">
        <f aca="false">IF(สินค้า!B96="","",สินค้า!B96)</f>
        <v/>
      </c>
      <c r="B117" s="23" t="str">
        <f aca="false">IF($A117="","",SUMIFS(บันทึกรายวัน!$F$2:$F$1001,บันทึกรายวัน!$B$2:$B$1001,สินค้า!$A96))</f>
        <v/>
      </c>
      <c r="C117" s="23" t="str">
        <f aca="false">IF($A117="","",SUMIFS(บันทึกรายวัน!$G$2:$G$1001,บันทึกรายวัน!$B$2:$B$1001,สินค้า!$A96))</f>
        <v/>
      </c>
      <c r="D117" s="23" t="str">
        <f aca="false">IF($A117="","",SUMIFS(บันทึกรายวัน!$H$2:$H$1001,บันทึกรายวัน!$B$2:$B$1001,สินค้า!$A96))</f>
        <v/>
      </c>
      <c r="E117" s="10" t="str">
        <f aca="false">IF($A117="","",SUMIFS(บันทึกรายวัน!$I$2:$I$1001,บันทึกรายวัน!$B$2:$B$1001,สินค้า!$A96))</f>
        <v/>
      </c>
      <c r="F117" s="10" t="str">
        <f aca="false">IF($A117="","",SUMIFS(บันทึกรายวัน!$K$2:$K$1001,บันทึกรายวัน!$B$2:$B$1001,สินค้า!$A96))</f>
        <v/>
      </c>
      <c r="G117" s="16" t="str">
        <f aca="false">IF(OR($A117="",N(B117)=0),"",C117/B117)</f>
        <v/>
      </c>
      <c r="H117" s="16" t="str">
        <f aca="false">IF(OR($A117="",N(C117)=0),"",D117/C117)</f>
        <v/>
      </c>
    </row>
    <row r="118" customFormat="false" ht="15" hidden="false" customHeight="false" outlineLevel="0" collapsed="false">
      <c r="A118" s="22" t="str">
        <f aca="false">IF(สินค้า!B97="","",สินค้า!B97)</f>
        <v/>
      </c>
      <c r="B118" s="23" t="str">
        <f aca="false">IF($A118="","",SUMIFS(บันทึกรายวัน!$F$2:$F$1001,บันทึกรายวัน!$B$2:$B$1001,สินค้า!$A97))</f>
        <v/>
      </c>
      <c r="C118" s="23" t="str">
        <f aca="false">IF($A118="","",SUMIFS(บันทึกรายวัน!$G$2:$G$1001,บันทึกรายวัน!$B$2:$B$1001,สินค้า!$A97))</f>
        <v/>
      </c>
      <c r="D118" s="23" t="str">
        <f aca="false">IF($A118="","",SUMIFS(บันทึกรายวัน!$H$2:$H$1001,บันทึกรายวัน!$B$2:$B$1001,สินค้า!$A97))</f>
        <v/>
      </c>
      <c r="E118" s="10" t="str">
        <f aca="false">IF($A118="","",SUMIFS(บันทึกรายวัน!$I$2:$I$1001,บันทึกรายวัน!$B$2:$B$1001,สินค้า!$A97))</f>
        <v/>
      </c>
      <c r="F118" s="10" t="str">
        <f aca="false">IF($A118="","",SUMIFS(บันทึกรายวัน!$K$2:$K$1001,บันทึกรายวัน!$B$2:$B$1001,สินค้า!$A97))</f>
        <v/>
      </c>
      <c r="G118" s="16" t="str">
        <f aca="false">IF(OR($A118="",N(B118)=0),"",C118/B118)</f>
        <v/>
      </c>
      <c r="H118" s="16" t="str">
        <f aca="false">IF(OR($A118="",N(C118)=0),"",D118/C118)</f>
        <v/>
      </c>
    </row>
    <row r="119" customFormat="false" ht="15" hidden="false" customHeight="false" outlineLevel="0" collapsed="false">
      <c r="A119" s="22" t="str">
        <f aca="false">IF(สินค้า!B98="","",สินค้า!B98)</f>
        <v/>
      </c>
      <c r="B119" s="23" t="str">
        <f aca="false">IF($A119="","",SUMIFS(บันทึกรายวัน!$F$2:$F$1001,บันทึกรายวัน!$B$2:$B$1001,สินค้า!$A98))</f>
        <v/>
      </c>
      <c r="C119" s="23" t="str">
        <f aca="false">IF($A119="","",SUMIFS(บันทึกรายวัน!$G$2:$G$1001,บันทึกรายวัน!$B$2:$B$1001,สินค้า!$A98))</f>
        <v/>
      </c>
      <c r="D119" s="23" t="str">
        <f aca="false">IF($A119="","",SUMIFS(บันทึกรายวัน!$H$2:$H$1001,บันทึกรายวัน!$B$2:$B$1001,สินค้า!$A98))</f>
        <v/>
      </c>
      <c r="E119" s="10" t="str">
        <f aca="false">IF($A119="","",SUMIFS(บันทึกรายวัน!$I$2:$I$1001,บันทึกรายวัน!$B$2:$B$1001,สินค้า!$A98))</f>
        <v/>
      </c>
      <c r="F119" s="10" t="str">
        <f aca="false">IF($A119="","",SUMIFS(บันทึกรายวัน!$K$2:$K$1001,บันทึกรายวัน!$B$2:$B$1001,สินค้า!$A98))</f>
        <v/>
      </c>
      <c r="G119" s="16" t="str">
        <f aca="false">IF(OR($A119="",N(B119)=0),"",C119/B119)</f>
        <v/>
      </c>
      <c r="H119" s="16" t="str">
        <f aca="false">IF(OR($A119="",N(C119)=0),"",D119/C119)</f>
        <v/>
      </c>
    </row>
    <row r="120" customFormat="false" ht="15" hidden="false" customHeight="false" outlineLevel="0" collapsed="false">
      <c r="A120" s="22" t="str">
        <f aca="false">IF(สินค้า!B99="","",สินค้า!B99)</f>
        <v/>
      </c>
      <c r="B120" s="23" t="str">
        <f aca="false">IF($A120="","",SUMIFS(บันทึกรายวัน!$F$2:$F$1001,บันทึกรายวัน!$B$2:$B$1001,สินค้า!$A99))</f>
        <v/>
      </c>
      <c r="C120" s="23" t="str">
        <f aca="false">IF($A120="","",SUMIFS(บันทึกรายวัน!$G$2:$G$1001,บันทึกรายวัน!$B$2:$B$1001,สินค้า!$A99))</f>
        <v/>
      </c>
      <c r="D120" s="23" t="str">
        <f aca="false">IF($A120="","",SUMIFS(บันทึกรายวัน!$H$2:$H$1001,บันทึกรายวัน!$B$2:$B$1001,สินค้า!$A99))</f>
        <v/>
      </c>
      <c r="E120" s="10" t="str">
        <f aca="false">IF($A120="","",SUMIFS(บันทึกรายวัน!$I$2:$I$1001,บันทึกรายวัน!$B$2:$B$1001,สินค้า!$A99))</f>
        <v/>
      </c>
      <c r="F120" s="10" t="str">
        <f aca="false">IF($A120="","",SUMIFS(บันทึกรายวัน!$K$2:$K$1001,บันทึกรายวัน!$B$2:$B$1001,สินค้า!$A99))</f>
        <v/>
      </c>
      <c r="G120" s="16" t="str">
        <f aca="false">IF(OR($A120="",N(B120)=0),"",C120/B120)</f>
        <v/>
      </c>
      <c r="H120" s="16" t="str">
        <f aca="false">IF(OR($A120="",N(C120)=0),"",D120/C120)</f>
        <v/>
      </c>
    </row>
    <row r="121" customFormat="false" ht="15" hidden="false" customHeight="false" outlineLevel="0" collapsed="false">
      <c r="A121" s="22" t="str">
        <f aca="false">IF(สินค้า!B100="","",สินค้า!B100)</f>
        <v/>
      </c>
      <c r="B121" s="23" t="str">
        <f aca="false">IF($A121="","",SUMIFS(บันทึกรายวัน!$F$2:$F$1001,บันทึกรายวัน!$B$2:$B$1001,สินค้า!$A100))</f>
        <v/>
      </c>
      <c r="C121" s="23" t="str">
        <f aca="false">IF($A121="","",SUMIFS(บันทึกรายวัน!$G$2:$G$1001,บันทึกรายวัน!$B$2:$B$1001,สินค้า!$A100))</f>
        <v/>
      </c>
      <c r="D121" s="23" t="str">
        <f aca="false">IF($A121="","",SUMIFS(บันทึกรายวัน!$H$2:$H$1001,บันทึกรายวัน!$B$2:$B$1001,สินค้า!$A100))</f>
        <v/>
      </c>
      <c r="E121" s="10" t="str">
        <f aca="false">IF($A121="","",SUMIFS(บันทึกรายวัน!$I$2:$I$1001,บันทึกรายวัน!$B$2:$B$1001,สินค้า!$A100))</f>
        <v/>
      </c>
      <c r="F121" s="10" t="str">
        <f aca="false">IF($A121="","",SUMIFS(บันทึกรายวัน!$K$2:$K$1001,บันทึกรายวัน!$B$2:$B$1001,สินค้า!$A100))</f>
        <v/>
      </c>
      <c r="G121" s="16" t="str">
        <f aca="false">IF(OR($A121="",N(B121)=0),"",C121/B121)</f>
        <v/>
      </c>
      <c r="H121" s="16" t="str">
        <f aca="false">IF(OR($A121="",N(C121)=0),"",D121/C121)</f>
        <v/>
      </c>
    </row>
    <row r="122" customFormat="false" ht="15" hidden="false" customHeight="false" outlineLevel="0" collapsed="false">
      <c r="A122" s="22" t="str">
        <f aca="false">IF(สินค้า!B101="","",สินค้า!B101)</f>
        <v/>
      </c>
      <c r="B122" s="23" t="str">
        <f aca="false">IF($A122="","",SUMIFS(บันทึกรายวัน!$F$2:$F$1001,บันทึกรายวัน!$B$2:$B$1001,สินค้า!$A101))</f>
        <v/>
      </c>
      <c r="C122" s="23" t="str">
        <f aca="false">IF($A122="","",SUMIFS(บันทึกรายวัน!$G$2:$G$1001,บันทึกรายวัน!$B$2:$B$1001,สินค้า!$A101))</f>
        <v/>
      </c>
      <c r="D122" s="23" t="str">
        <f aca="false">IF($A122="","",SUMIFS(บันทึกรายวัน!$H$2:$H$1001,บันทึกรายวัน!$B$2:$B$1001,สินค้า!$A101))</f>
        <v/>
      </c>
      <c r="E122" s="10" t="str">
        <f aca="false">IF($A122="","",SUMIFS(บันทึกรายวัน!$I$2:$I$1001,บันทึกรายวัน!$B$2:$B$1001,สินค้า!$A101))</f>
        <v/>
      </c>
      <c r="F122" s="10" t="str">
        <f aca="false">IF($A122="","",SUMIFS(บันทึกรายวัน!$K$2:$K$1001,บันทึกรายวัน!$B$2:$B$1001,สินค้า!$A101))</f>
        <v/>
      </c>
      <c r="G122" s="16" t="str">
        <f aca="false">IF(OR($A122="",N(B122)=0),"",C122/B122)</f>
        <v/>
      </c>
      <c r="H122" s="16" t="str">
        <f aca="false">IF(OR($A122="",N(C122)=0),"",D122/C122)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2026-10-12T17:15:56Z</dcterms:created>
  <dc:creator>openpyxl</dc:creator>
  <dc:description/>
  <dc:language>en-US</dc:language>
  <cp:lastModifiedBy/>
  <dcterms:modified xsi:type="dcterms:W3CDTF">2026-10-12T17:15:57Z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